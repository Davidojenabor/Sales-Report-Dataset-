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Windows.old.000\Users\HP\Desktop\Dravis\Desktop\David's Folder\My work 2\"/>
    </mc:Choice>
  </mc:AlternateContent>
  <bookViews>
    <workbookView xWindow="0" yWindow="0" windowWidth="20325" windowHeight="9510" activeTab="2"/>
  </bookViews>
  <sheets>
    <sheet name="Worksheet" sheetId="2" r:id="rId1"/>
    <sheet name="Analysis" sheetId="1" r:id="rId2"/>
    <sheet name="Dashboard" sheetId="3" r:id="rId3"/>
  </sheets>
  <definedNames>
    <definedName name="_xlcn.WorksheetConnection_Book1sales_dataset" hidden="1">sales_dataset[]</definedName>
    <definedName name="_xlcn.WorksheetConnection_Salesdataset.xlsxTable2" hidden="1">Table2[]</definedName>
    <definedName name="ExternalData_1" localSheetId="0" hidden="1">Worksheet!$A$1:$J$21</definedName>
    <definedName name="NativeTimeline_Date">#N/A</definedName>
    <definedName name="Slicer_Customer_Segment">#N/A</definedName>
    <definedName name="Slicer_Product_Name">#N/A</definedName>
  </definedNames>
  <calcPr calcId="162913"/>
  <pivotCaches>
    <pivotCache cacheId="0" r:id="rId4"/>
    <pivotCache cacheId="1" r:id="rId5"/>
    <pivotCache cacheId="2"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Sales dataset.xlsx!Table2"/>
          <x15:modelTable id="sales_dataset" name="sales_dataset" connection="WorksheetConnection_Book1!sales_dataset"/>
        </x15:modelTables>
      </x15:dataModel>
    </ext>
  </extLst>
</workbook>
</file>

<file path=xl/calcChain.xml><?xml version="1.0" encoding="utf-8"?>
<calcChain xmlns="http://schemas.openxmlformats.org/spreadsheetml/2006/main">
  <c r="D4" i="1" l="1"/>
  <c r="C4" i="1"/>
  <c r="B4" i="1"/>
  <c r="A4" i="1"/>
  <c r="H35" i="1"/>
  <c r="H36" i="1"/>
  <c r="H37" i="1"/>
  <c r="H38" i="1"/>
  <c r="H39" i="1"/>
  <c r="H40" i="1"/>
  <c r="H41" i="1"/>
  <c r="H34" i="1"/>
  <c r="G35" i="1"/>
  <c r="G36" i="1"/>
  <c r="G37" i="1"/>
  <c r="G38" i="1"/>
  <c r="G39" i="1"/>
  <c r="G40" i="1"/>
  <c r="G41" i="1"/>
  <c r="G34" i="1"/>
  <c r="F37" i="1"/>
  <c r="F38" i="1"/>
  <c r="F39" i="1"/>
  <c r="F40" i="1"/>
  <c r="F41" i="1"/>
  <c r="F35" i="1"/>
  <c r="F36" i="1"/>
  <c r="F34" i="1"/>
  <c r="J34" i="1" l="1"/>
  <c r="I34" i="1"/>
  <c r="J37" i="1" l="1"/>
  <c r="J35" i="1" l="1"/>
  <c r="J36" i="1"/>
  <c r="J38" i="1"/>
  <c r="J39" i="1"/>
  <c r="J40" i="1"/>
  <c r="J41" i="1"/>
  <c r="I35" i="1"/>
  <c r="I36" i="1"/>
  <c r="I37" i="1"/>
  <c r="K37" i="1" s="1"/>
  <c r="L37" i="1" s="1"/>
  <c r="I38" i="1"/>
  <c r="I39" i="1"/>
  <c r="I40" i="1"/>
  <c r="I41" i="1"/>
  <c r="K41" i="1" l="1"/>
  <c r="L41" i="1" s="1"/>
  <c r="K36" i="1"/>
  <c r="L36" i="1" s="1"/>
  <c r="K40" i="1"/>
  <c r="L40" i="1" s="1"/>
  <c r="K38" i="1"/>
  <c r="L38" i="1" s="1"/>
  <c r="K34" i="1"/>
  <c r="K39" i="1"/>
  <c r="L39" i="1" s="1"/>
  <c r="K35" i="1"/>
  <c r="L35" i="1" s="1"/>
  <c r="K18" i="2" l="1"/>
  <c r="K10" i="2"/>
  <c r="K8" i="2"/>
  <c r="K4" i="2"/>
  <c r="K9" i="2"/>
  <c r="K14" i="2"/>
  <c r="K21" i="2"/>
  <c r="L34" i="1"/>
  <c r="K13" i="2" s="1"/>
  <c r="K7" i="2" l="1"/>
  <c r="K16" i="2"/>
  <c r="K20" i="2"/>
  <c r="K11" i="2"/>
  <c r="K3" i="2"/>
  <c r="K17" i="2"/>
  <c r="K6" i="2"/>
  <c r="K15" i="2"/>
  <c r="K2" i="2"/>
  <c r="K5" i="2"/>
  <c r="K19" i="2"/>
  <c r="K12" i="2"/>
</calcChain>
</file>

<file path=xl/connections.xml><?xml version="1.0" encoding="utf-8"?>
<connections xmlns="http://schemas.openxmlformats.org/spreadsheetml/2006/main">
  <connection id="1" keepAlive="1" name="Query - sales_dataset" description="Connection to the 'sales_dataset' query in the workbook." type="5" refreshedVersion="6" background="1" saveData="1">
    <dbPr connection="Provider=Microsoft.Mashup.OleDb.1;Data Source=$Workbook$;Location=sales_dataset;Extended Properties=&quot;&quot;" command="SELECT * FROM [sales_dataset]"/>
  </connection>
  <connection i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Book1!sales_dataset" type="102" refreshedVersion="6" minRefreshableVersion="5">
    <extLst>
      <ext xmlns:x15="http://schemas.microsoft.com/office/spreadsheetml/2010/11/main" uri="{DE250136-89BD-433C-8126-D09CA5730AF9}">
        <x15:connection id="sales_dataset" autoDelete="1">
          <x15:rangePr sourceName="_xlcn.WorksheetConnection_Book1sales_dataset"/>
        </x15:connection>
      </ext>
    </extLst>
  </connection>
  <connection id="4" name="WorksheetConnection_Sales dataset.xlsx!Table2" type="102" refreshedVersion="6" minRefreshableVersion="5">
    <extLst>
      <ext xmlns:x15="http://schemas.microsoft.com/office/spreadsheetml/2010/11/main" uri="{DE250136-89BD-433C-8126-D09CA5730AF9}">
        <x15:connection id="Table2" autoDelete="1">
          <x15:rangePr sourceName="_xlcn.WorksheetConnection_Salesdataset.xlsxTable2"/>
        </x15:connection>
      </ext>
    </extLst>
  </connection>
</connections>
</file>

<file path=xl/sharedStrings.xml><?xml version="1.0" encoding="utf-8"?>
<sst xmlns="http://schemas.openxmlformats.org/spreadsheetml/2006/main" count="241" uniqueCount="89">
  <si>
    <t>TXN001</t>
  </si>
  <si>
    <t>Jan</t>
  </si>
  <si>
    <t>C001</t>
  </si>
  <si>
    <t>Laptop</t>
  </si>
  <si>
    <t>Nigeria</t>
  </si>
  <si>
    <t>TXN002</t>
  </si>
  <si>
    <t>C002</t>
  </si>
  <si>
    <t>Phone</t>
  </si>
  <si>
    <t>TXN003</t>
  </si>
  <si>
    <t>C003</t>
  </si>
  <si>
    <t>Headphones</t>
  </si>
  <si>
    <t>TXN004</t>
  </si>
  <si>
    <t>Mouse</t>
  </si>
  <si>
    <t>TXN005</t>
  </si>
  <si>
    <t>C004</t>
  </si>
  <si>
    <t>TXN006</t>
  </si>
  <si>
    <t>Keyboard</t>
  </si>
  <si>
    <t>TXN007</t>
  </si>
  <si>
    <t>Feb</t>
  </si>
  <si>
    <t>C005</t>
  </si>
  <si>
    <t>TXN008</t>
  </si>
  <si>
    <t>TXN009</t>
  </si>
  <si>
    <t>C006</t>
  </si>
  <si>
    <t>Monitor</t>
  </si>
  <si>
    <t>TXN010</t>
  </si>
  <si>
    <t>TXN011</t>
  </si>
  <si>
    <t>TXN012</t>
  </si>
  <si>
    <t>Mar</t>
  </si>
  <si>
    <t>C007</t>
  </si>
  <si>
    <t>TXN013</t>
  </si>
  <si>
    <t>TXN014</t>
  </si>
  <si>
    <t>TXN015</t>
  </si>
  <si>
    <t>TXN016</t>
  </si>
  <si>
    <t>TXN017</t>
  </si>
  <si>
    <t>TXN018</t>
  </si>
  <si>
    <t>Apr</t>
  </si>
  <si>
    <t>TXN019</t>
  </si>
  <si>
    <t>C008</t>
  </si>
  <si>
    <t>TXN020</t>
  </si>
  <si>
    <t>Txn_No</t>
  </si>
  <si>
    <t>Date</t>
  </si>
  <si>
    <t>Month</t>
  </si>
  <si>
    <t>Customer_Id</t>
  </si>
  <si>
    <t>Product_Name</t>
  </si>
  <si>
    <t>Price</t>
  </si>
  <si>
    <t>Quantity</t>
  </si>
  <si>
    <t>Total_Sales</t>
  </si>
  <si>
    <t>Country</t>
  </si>
  <si>
    <t>Revenue</t>
  </si>
  <si>
    <t>Quantity Sold</t>
  </si>
  <si>
    <t>Customers No</t>
  </si>
  <si>
    <t>Sum of Total_Sales</t>
  </si>
  <si>
    <t>Time Analysis</t>
  </si>
  <si>
    <t>Product Analysis</t>
  </si>
  <si>
    <t>Average of Quantity</t>
  </si>
  <si>
    <t>Count of Txn_No</t>
  </si>
  <si>
    <t>Quantity Analysis</t>
  </si>
  <si>
    <t>Customer ID by Txns count</t>
  </si>
  <si>
    <t>Customer Analysis</t>
  </si>
  <si>
    <t>Frequency Score</t>
  </si>
  <si>
    <t>Monetary Score</t>
  </si>
  <si>
    <t>Combo</t>
  </si>
  <si>
    <t>Low Value</t>
  </si>
  <si>
    <t>Customer Segment</t>
  </si>
  <si>
    <t>Customer Segmentation</t>
  </si>
  <si>
    <t>Average Order Value</t>
  </si>
  <si>
    <t xml:space="preserve"> </t>
  </si>
  <si>
    <t>Txn_Count</t>
  </si>
  <si>
    <t>VIP</t>
  </si>
  <si>
    <t>Regular</t>
  </si>
  <si>
    <t>At Risk</t>
  </si>
  <si>
    <t>High Value</t>
  </si>
  <si>
    <t>Count of Customer_Id</t>
  </si>
  <si>
    <t>Customer Representation</t>
  </si>
  <si>
    <t>Customer Per Segment</t>
  </si>
  <si>
    <t>Revenue Per Segment</t>
  </si>
  <si>
    <t>Sum of Quantity</t>
  </si>
  <si>
    <t>Quantity Sold per Product</t>
  </si>
  <si>
    <t>P001</t>
  </si>
  <si>
    <t>P002</t>
  </si>
  <si>
    <t>P003</t>
  </si>
  <si>
    <t>P004</t>
  </si>
  <si>
    <t>P005</t>
  </si>
  <si>
    <t>P006</t>
  </si>
  <si>
    <t>Txn No</t>
  </si>
  <si>
    <t>Customer Id</t>
  </si>
  <si>
    <t>Product Id</t>
  </si>
  <si>
    <t>Product Name</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</si>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</sst>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164" formatCode="_-[$₦-46A]* #,##0_-;\-[$₦-46A]* #,##0_-;_-[$₦-46A]* &quot;-&quot;_-;_-@_-"/>
    <numFmt numFmtId="165" formatCode="[&gt;=1000000]\₦0.00,,&quot;M&quot;\ ;[&gt;=1000]\ \₦0.0,\ &quot;K&quot;\ ;\ 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0" fontId="0" fillId="0" borderId="0" xfId="0" applyNumberFormat="1"/>
    <xf numFmtId="14" fontId="0" fillId="0" borderId="0" xfId="0" applyNumberFormat="1"/>
    <xf numFmtId="164" fontId="0" fillId="0" borderId="0" xfId="1" applyNumberFormat="1" applyFont="1"/>
    <xf numFmtId="0" fontId="0" fillId="0" borderId="0" xfId="0" pivotButton="1"/>
    <xf numFmtId="0" fontId="0" fillId="0" borderId="0" xfId="0" applyAlignment="1">
      <alignment horizontal="left"/>
    </xf>
    <xf numFmtId="165" fontId="0" fillId="0" borderId="0" xfId="0" applyNumberFormat="1"/>
    <xf numFmtId="0" fontId="2" fillId="0" borderId="0" xfId="0" applyFont="1"/>
    <xf numFmtId="2" fontId="0" fillId="0" borderId="0" xfId="0" applyNumberFormat="1"/>
    <xf numFmtId="1" fontId="0" fillId="0" borderId="0" xfId="1" applyNumberFormat="1" applyFont="1"/>
    <xf numFmtId="0" fontId="2" fillId="0" borderId="0" xfId="0" applyNumberFormat="1" applyFont="1"/>
    <xf numFmtId="0" fontId="0" fillId="0" borderId="0" xfId="0" applyFont="1"/>
  </cellXfs>
  <cellStyles count="2">
    <cellStyle name="Currency" xfId="1" builtinId="4"/>
    <cellStyle name="Normal" xfId="0" builtinId="0"/>
  </cellStyles>
  <dxfs count="24">
    <dxf>
      <numFmt numFmtId="165" formatCode="[&gt;=1000000]\₦0.00,,&quot;M&quot;\ ;[&gt;=1000]\ \₦0.0,\ &quot;K&quot;\ ;\ 0"/>
    </dxf>
    <dxf>
      <font>
        <b/>
        <i val="0"/>
        <strike val="0"/>
        <condense val="0"/>
        <extend val="0"/>
        <outline val="0"/>
        <shadow val="0"/>
        <u val="none"/>
        <vertAlign val="baseline"/>
        <sz val="11"/>
        <color theme="1"/>
        <name val="Calibri"/>
        <scheme val="minor"/>
      </font>
    </dxf>
    <dxf>
      <numFmt numFmtId="0" formatCode="General"/>
    </dxf>
    <dxf>
      <numFmt numFmtId="165" formatCode="[&gt;=1000000]\₦0.00,,&quot;M&quot;\ ;[&gt;=1000]\ \₦0.0,\ &quot;K&quot;\ ;\ 0"/>
    </dxf>
    <dxf>
      <numFmt numFmtId="165" formatCode="[&gt;=1000000]\₦0.00,,&quot;M&quot;\ ;[&gt;=1000]\ \₦0.0,\ &quot;K&quot;\ ;\ 0"/>
    </dxf>
    <dxf>
      <numFmt numFmtId="165" formatCode="[&gt;=1000000]\₦0.00,,&quot;M&quot;\ ;[&gt;=1000]\ \₦0.0,\ &quot;K&quot;\ ;\ 0"/>
    </dxf>
    <dxf>
      <numFmt numFmtId="165" formatCode="[&gt;=1000000]\₦0.00,,&quot;M&quot;\ ;[&gt;=1000]\ \₦0.0,\ &quot;K&quot;\ ;\ 0"/>
    </dxf>
    <dxf>
      <numFmt numFmtId="165" formatCode="[&gt;=1000000]\₦0.00,,&quot;M&quot;\ ;[&gt;=1000]\ \₦0.0,\ &quot;K&quot;\ ;\ 0"/>
    </dxf>
    <dxf>
      <numFmt numFmtId="0" formatCode="General"/>
    </dxf>
    <dxf>
      <numFmt numFmtId="0" formatCode="General"/>
    </dxf>
    <dxf>
      <font>
        <b val="0"/>
        <i val="0"/>
        <strike val="0"/>
        <condense val="0"/>
        <extend val="0"/>
        <outline val="0"/>
        <shadow val="0"/>
        <u val="none"/>
        <vertAlign val="baseline"/>
        <sz val="11"/>
        <color theme="1"/>
        <name val="Calibri"/>
        <scheme val="minor"/>
      </font>
      <numFmt numFmtId="164" formatCode="_-[$₦-46A]* #,##0_-;\-[$₦-46A]* #,##0_-;_-[$₦-46A]* &quot;-&quot;_-;_-@_-"/>
    </dxf>
    <dxf>
      <numFmt numFmtId="0" formatCode="General"/>
    </dxf>
    <dxf>
      <font>
        <b val="0"/>
        <i val="0"/>
        <strike val="0"/>
        <condense val="0"/>
        <extend val="0"/>
        <outline val="0"/>
        <shadow val="0"/>
        <u val="none"/>
        <vertAlign val="baseline"/>
        <sz val="11"/>
        <color theme="1"/>
        <name val="Calibri"/>
        <scheme val="minor"/>
      </font>
      <numFmt numFmtId="164" formatCode="_-[$₦-46A]* #,##0_-;\-[$₦-46A]* #,##0_-;_-[$₦-46A]* &quot;-&quot;_-;_-@_-"/>
    </dxf>
    <dxf>
      <numFmt numFmtId="0" formatCode="General"/>
    </dxf>
    <dxf>
      <font>
        <b val="0"/>
        <i val="0"/>
        <strike val="0"/>
        <condense val="0"/>
        <extend val="0"/>
        <outline val="0"/>
        <shadow val="0"/>
        <u val="none"/>
        <vertAlign val="baseline"/>
        <sz val="11"/>
        <color theme="1"/>
        <name val="Calibri"/>
        <scheme val="minor"/>
      </font>
      <numFmt numFmtId="1" formatCode="0"/>
    </dxf>
    <dxf>
      <numFmt numFmtId="2" formatCode="0.00"/>
    </dxf>
    <dxf>
      <numFmt numFmtId="0" formatCode="General"/>
    </dxf>
    <dxf>
      <numFmt numFmtId="19" formatCode="m/d/yyyy"/>
    </dxf>
    <dxf>
      <numFmt numFmtId="0" formatCode="General"/>
    </dxf>
    <dxf>
      <font>
        <b/>
        <i val="0"/>
        <strike val="0"/>
        <condense val="0"/>
        <extend val="0"/>
        <outline val="0"/>
        <shadow val="0"/>
        <u val="none"/>
        <vertAlign val="baseline"/>
        <sz val="11"/>
        <color theme="1"/>
        <name val="Calibri"/>
        <scheme val="minor"/>
      </font>
      <numFmt numFmtId="0" formatCode="General"/>
    </dxf>
    <dxf>
      <font>
        <b/>
        <sz val="11"/>
        <color theme="1"/>
      </font>
      <border>
        <vertical/>
        <horizontal/>
      </border>
    </dxf>
    <dxf>
      <font>
        <b val="0"/>
        <i val="0"/>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patternFill>
          <bgColor theme="9" tint="0.59996337778862885"/>
        </patternFill>
      </fill>
      <border diagonalUp="0" diagonalDown="0">
        <left/>
        <right/>
        <top/>
        <bottom/>
        <vertical/>
        <horizontal/>
      </border>
    </dxf>
  </dxfs>
  <tableStyles count="2" defaultTableStyle="TableStyleMedium2" defaultPivotStyle="PivotStyleLight16">
    <tableStyle name="SlicerStyleLight6 2" pivot="0" table="0" count="10">
      <tableStyleElement type="wholeTable" dxfId="23"/>
      <tableStyleElement type="headerRow" dxfId="22"/>
    </tableStyle>
    <tableStyle name="TimeSlicerStyleLight6 2" pivot="0" table="0" count="9">
      <tableStyleElement type="wholeTable" dxfId="21"/>
      <tableStyleElement type="headerRow" dxfId="2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9" tint="0.39997558519241921"/>
              <bgColor theme="9"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9" tint="0.59999389629810485"/>
              </stop>
              <stop position="1">
                <color theme="9"/>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6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2.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dataset.xlsx]Analysis!PivotTable2</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400" b="1" i="0" u="none" strike="noStrike" cap="none" baseline="0">
                <a:solidFill>
                  <a:sysClr val="windowText" lastClr="000000"/>
                </a:solidFill>
                <a:effectLst/>
                <a:latin typeface="Times New Roman" panose="02020603050405020304" pitchFamily="18" charset="0"/>
                <a:cs typeface="Times New Roman" panose="02020603050405020304" pitchFamily="18" charset="0"/>
              </a:rPr>
              <a:t>Time Analysis</a:t>
            </a:r>
          </a:p>
          <a:p>
            <a:pPr>
              <a:defRPr/>
            </a:pPr>
            <a:r>
              <a:rPr lang="en-US" sz="1400" b="1" i="0" u="none" strike="noStrike" cap="none" baseline="0">
                <a:solidFill>
                  <a:sysClr val="windowText" lastClr="000000"/>
                </a:solidFill>
                <a:latin typeface="Times New Roman" panose="02020603050405020304" pitchFamily="18" charset="0"/>
                <a:cs typeface="Times New Roman" panose="02020603050405020304" pitchFamily="18" charset="0"/>
              </a:rPr>
              <a:t> </a:t>
            </a:r>
            <a:endParaRPr lang="en-US" b="1">
              <a:solidFill>
                <a:sysClr val="windowText" lastClr="000000"/>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6"/>
            </a:solidFill>
            <a:round/>
          </a:ln>
          <a:effectLst/>
        </c:spPr>
        <c:marker>
          <c:symbol val="circle"/>
          <c:size val="6"/>
          <c:spPr>
            <a:solidFill>
              <a:schemeClr val="accent6"/>
            </a:solidFill>
            <a:ln w="31750"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cmpd="sng" algn="ctr">
            <a:solidFill>
              <a:schemeClr val="accent6"/>
            </a:solidFill>
            <a:round/>
          </a:ln>
          <a:effectLst/>
        </c:spPr>
        <c:marker>
          <c:symbol val="circle"/>
          <c:size val="5"/>
          <c:spPr>
            <a:solidFill>
              <a:schemeClr val="accent6">
                <a:lumMod val="75000"/>
              </a:schemeClr>
            </a:solidFill>
            <a:ln w="47625" cap="flat" cmpd="sng" algn="ctr">
              <a:solidFill>
                <a:schemeClr val="accent6">
                  <a:lumMod val="75000"/>
                </a:schemeClr>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679519584973822"/>
          <c:y val="0.14545459884903505"/>
          <c:w val="0.85050846620520149"/>
          <c:h val="0.74639492920541428"/>
        </c:manualLayout>
      </c:layout>
      <c:lineChart>
        <c:grouping val="standard"/>
        <c:varyColors val="0"/>
        <c:ser>
          <c:idx val="0"/>
          <c:order val="0"/>
          <c:tx>
            <c:strRef>
              <c:f>Analysis!$B$8</c:f>
              <c:strCache>
                <c:ptCount val="1"/>
                <c:pt idx="0">
                  <c:v>Total</c:v>
                </c:pt>
              </c:strCache>
            </c:strRef>
          </c:tx>
          <c:spPr>
            <a:ln w="38100" cap="rnd" cmpd="sng" algn="ctr">
              <a:solidFill>
                <a:schemeClr val="accent6"/>
              </a:solidFill>
              <a:round/>
            </a:ln>
            <a:effectLst/>
          </c:spPr>
          <c:marker>
            <c:symbol val="circle"/>
            <c:size val="5"/>
            <c:spPr>
              <a:solidFill>
                <a:schemeClr val="accent6">
                  <a:lumMod val="75000"/>
                </a:schemeClr>
              </a:solidFill>
              <a:ln w="47625" cap="flat" cmpd="sng" algn="ctr">
                <a:solidFill>
                  <a:schemeClr val="accent6">
                    <a:lumMod val="7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Analysis!$A$9:$A$12</c:f>
              <c:strCache>
                <c:ptCount val="4"/>
                <c:pt idx="0">
                  <c:v>Jan</c:v>
                </c:pt>
                <c:pt idx="1">
                  <c:v>Feb</c:v>
                </c:pt>
                <c:pt idx="2">
                  <c:v>Mar</c:v>
                </c:pt>
                <c:pt idx="3">
                  <c:v>Apr</c:v>
                </c:pt>
              </c:strCache>
            </c:strRef>
          </c:cat>
          <c:val>
            <c:numRef>
              <c:f>Analysis!$B$9:$B$12</c:f>
              <c:numCache>
                <c:formatCode>[&gt;=1000000]\₦0.00,,"M"\ ;[&gt;=1000]\ \₦0.0,\ "K"\ ;\ 0</c:formatCode>
                <c:ptCount val="4"/>
                <c:pt idx="0">
                  <c:v>1011000</c:v>
                </c:pt>
                <c:pt idx="1">
                  <c:v>1050000</c:v>
                </c:pt>
                <c:pt idx="2">
                  <c:v>965000</c:v>
                </c:pt>
                <c:pt idx="3">
                  <c:v>562000</c:v>
                </c:pt>
              </c:numCache>
            </c:numRef>
          </c:val>
          <c:smooth val="0"/>
          <c:extLst>
            <c:ext xmlns:c16="http://schemas.microsoft.com/office/drawing/2014/chart" uri="{C3380CC4-5D6E-409C-BE32-E72D297353CC}">
              <c16:uniqueId val="{00000000-4163-4561-8334-DCEE0DF81445}"/>
            </c:ext>
          </c:extLst>
        </c:ser>
        <c:dLbls>
          <c:dLblPos val="t"/>
          <c:showLegendKey val="0"/>
          <c:showVal val="1"/>
          <c:showCatName val="0"/>
          <c:showSerName val="0"/>
          <c:showPercent val="0"/>
          <c:showBubbleSize val="0"/>
        </c:dLbls>
        <c:dropLines>
          <c:spPr>
            <a:ln w="15875" cap="flat" cmpd="sng" algn="ctr">
              <a:solidFill>
                <a:schemeClr val="accent6">
                  <a:lumMod val="60000"/>
                  <a:lumOff val="40000"/>
                  <a:alpha val="33000"/>
                </a:schemeClr>
              </a:solidFill>
              <a:round/>
            </a:ln>
            <a:effectLst/>
          </c:spPr>
        </c:dropLines>
        <c:marker val="1"/>
        <c:smooth val="0"/>
        <c:axId val="322959384"/>
        <c:axId val="322964632"/>
      </c:lineChart>
      <c:catAx>
        <c:axId val="32295938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50" b="0" i="0" u="none" strike="noStrike" kern="1200" spc="2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22964632"/>
        <c:crosses val="autoZero"/>
        <c:auto val="1"/>
        <c:lblAlgn val="ctr"/>
        <c:lblOffset val="100"/>
        <c:noMultiLvlLbl val="0"/>
      </c:catAx>
      <c:valAx>
        <c:axId val="322964632"/>
        <c:scaling>
          <c:orientation val="minMax"/>
        </c:scaling>
        <c:delete val="0"/>
        <c:axPos val="l"/>
        <c:numFmt formatCode="[&gt;=1000000]\₦0.00,,&quot;M&quot;\ ;[&gt;=1000]\ \₦0.0,\ &quot;K&quot;\ ;\ 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spc="2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2295938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dataset.xlsx]Analysis!PivotTable5</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latin typeface="Times New Roman" panose="02020603050405020304" pitchFamily="18" charset="0"/>
                <a:cs typeface="Times New Roman" panose="02020603050405020304" pitchFamily="18" charset="0"/>
              </a:rPr>
              <a:t>Top Customer</a:t>
            </a:r>
            <a:r>
              <a:rPr lang="en-US" b="1" baseline="0">
                <a:solidFill>
                  <a:sysClr val="windowText" lastClr="000000"/>
                </a:solidFill>
                <a:latin typeface="Times New Roman" panose="02020603050405020304" pitchFamily="18" charset="0"/>
                <a:cs typeface="Times New Roman" panose="02020603050405020304" pitchFamily="18" charset="0"/>
              </a:rPr>
              <a:t> by Revenue</a:t>
            </a:r>
            <a:endParaRPr lang="en-US" b="1">
              <a:solidFill>
                <a:sysClr val="windowText" lastClr="000000"/>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6">
              <a:lumMod val="50000"/>
            </a:schemeClr>
          </a:solidFill>
          <a:ln>
            <a:noFill/>
          </a:ln>
          <a:effectLst/>
        </c:spPr>
      </c:pivotFmt>
    </c:pivotFmts>
    <c:plotArea>
      <c:layout/>
      <c:barChart>
        <c:barDir val="bar"/>
        <c:grouping val="clustered"/>
        <c:varyColors val="0"/>
        <c:ser>
          <c:idx val="0"/>
          <c:order val="0"/>
          <c:tx>
            <c:strRef>
              <c:f>Analysis!$B$19</c:f>
              <c:strCache>
                <c:ptCount val="1"/>
                <c:pt idx="0">
                  <c:v>Total</c:v>
                </c:pt>
              </c:strCache>
            </c:strRef>
          </c:tx>
          <c:spPr>
            <a:solidFill>
              <a:schemeClr val="accent6"/>
            </a:solidFill>
            <a:ln>
              <a:noFill/>
            </a:ln>
            <a:effectLst/>
          </c:spPr>
          <c:invertIfNegative val="0"/>
          <c:dPt>
            <c:idx val="7"/>
            <c:invertIfNegative val="0"/>
            <c:bubble3D val="0"/>
            <c:spPr>
              <a:solidFill>
                <a:schemeClr val="accent6">
                  <a:lumMod val="50000"/>
                </a:schemeClr>
              </a:solidFill>
              <a:ln>
                <a:noFill/>
              </a:ln>
              <a:effectLst/>
            </c:spPr>
            <c:extLst>
              <c:ext xmlns:c16="http://schemas.microsoft.com/office/drawing/2014/chart" uri="{C3380CC4-5D6E-409C-BE32-E72D297353CC}">
                <c16:uniqueId val="{00000001-78FB-4646-8295-31B2A9C09D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Analysis!$A$20:$A$27</c:f>
              <c:strCache>
                <c:ptCount val="8"/>
                <c:pt idx="0">
                  <c:v>C008</c:v>
                </c:pt>
                <c:pt idx="1">
                  <c:v>C007</c:v>
                </c:pt>
                <c:pt idx="2">
                  <c:v>C006</c:v>
                </c:pt>
                <c:pt idx="3">
                  <c:v>C005</c:v>
                </c:pt>
                <c:pt idx="4">
                  <c:v>C004</c:v>
                </c:pt>
                <c:pt idx="5">
                  <c:v>C003</c:v>
                </c:pt>
                <c:pt idx="6">
                  <c:v>C002</c:v>
                </c:pt>
                <c:pt idx="7">
                  <c:v>C001</c:v>
                </c:pt>
              </c:strCache>
            </c:strRef>
          </c:cat>
          <c:val>
            <c:numRef>
              <c:f>Analysis!$B$20:$B$27</c:f>
              <c:numCache>
                <c:formatCode>[&gt;=1000000]\₦0.00,,"M"\ ;[&gt;=1000]\ \₦0.0,\ "K"\ ;\ 0</c:formatCode>
                <c:ptCount val="8"/>
                <c:pt idx="0">
                  <c:v>180000</c:v>
                </c:pt>
                <c:pt idx="1">
                  <c:v>40000</c:v>
                </c:pt>
                <c:pt idx="2">
                  <c:v>290000</c:v>
                </c:pt>
                <c:pt idx="3">
                  <c:v>395000</c:v>
                </c:pt>
                <c:pt idx="4">
                  <c:v>300000</c:v>
                </c:pt>
                <c:pt idx="5">
                  <c:v>637000</c:v>
                </c:pt>
                <c:pt idx="6">
                  <c:v>850000</c:v>
                </c:pt>
                <c:pt idx="7">
                  <c:v>896000</c:v>
                </c:pt>
              </c:numCache>
            </c:numRef>
          </c:val>
          <c:extLst>
            <c:ext xmlns:c16="http://schemas.microsoft.com/office/drawing/2014/chart" uri="{C3380CC4-5D6E-409C-BE32-E72D297353CC}">
              <c16:uniqueId val="{00000003-B7BC-460E-92A2-7400E1DF02F1}"/>
            </c:ext>
          </c:extLst>
        </c:ser>
        <c:dLbls>
          <c:dLblPos val="outEnd"/>
          <c:showLegendKey val="0"/>
          <c:showVal val="1"/>
          <c:showCatName val="0"/>
          <c:showSerName val="0"/>
          <c:showPercent val="0"/>
          <c:showBubbleSize val="0"/>
        </c:dLbls>
        <c:gapWidth val="159"/>
        <c:axId val="389971440"/>
        <c:axId val="389967176"/>
      </c:barChart>
      <c:catAx>
        <c:axId val="389971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89967176"/>
        <c:crosses val="autoZero"/>
        <c:auto val="1"/>
        <c:lblAlgn val="ctr"/>
        <c:lblOffset val="100"/>
        <c:noMultiLvlLbl val="0"/>
      </c:catAx>
      <c:valAx>
        <c:axId val="389967176"/>
        <c:scaling>
          <c:orientation val="minMax"/>
        </c:scaling>
        <c:delete val="1"/>
        <c:axPos val="b"/>
        <c:numFmt formatCode="[&gt;=1000000]\₦0.00,,&quot;M&quot;\ ;[&gt;=1000]\ \₦0.0,\ &quot;K&quot;\ ;\ 0" sourceLinked="1"/>
        <c:majorTickMark val="none"/>
        <c:minorTickMark val="none"/>
        <c:tickLblPos val="nextTo"/>
        <c:crossAx val="3899714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dataset.xlsx]Analysis!PivotTable7</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latin typeface="Times New Roman" panose="02020603050405020304" pitchFamily="18" charset="0"/>
                <a:cs typeface="Times New Roman" panose="02020603050405020304" pitchFamily="18" charset="0"/>
              </a:rPr>
              <a:t>Customers per Segment</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6">
              <a:lumMod val="50000"/>
            </a:schemeClr>
          </a:solidFill>
          <a:ln>
            <a:noFill/>
          </a:ln>
          <a:effectLst/>
        </c:spPr>
      </c:pivotFmt>
    </c:pivotFmts>
    <c:plotArea>
      <c:layout/>
      <c:barChart>
        <c:barDir val="bar"/>
        <c:grouping val="clustered"/>
        <c:varyColors val="0"/>
        <c:ser>
          <c:idx val="0"/>
          <c:order val="0"/>
          <c:tx>
            <c:strRef>
              <c:f>Analysis!$G$45</c:f>
              <c:strCache>
                <c:ptCount val="1"/>
                <c:pt idx="0">
                  <c:v>Total</c:v>
                </c:pt>
              </c:strCache>
            </c:strRef>
          </c:tx>
          <c:spPr>
            <a:solidFill>
              <a:schemeClr val="accent6"/>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0-6047-41D8-B006-E013EAC2CF4D}"/>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Analysis!$F$46:$F$50</c:f>
              <c:strCache>
                <c:ptCount val="5"/>
                <c:pt idx="0">
                  <c:v>VIP</c:v>
                </c:pt>
                <c:pt idx="1">
                  <c:v>Regular</c:v>
                </c:pt>
                <c:pt idx="2">
                  <c:v>Low Value</c:v>
                </c:pt>
                <c:pt idx="3">
                  <c:v>High Value</c:v>
                </c:pt>
                <c:pt idx="4">
                  <c:v>At Risk</c:v>
                </c:pt>
              </c:strCache>
            </c:strRef>
          </c:cat>
          <c:val>
            <c:numRef>
              <c:f>Analysis!$G$46:$G$50</c:f>
              <c:numCache>
                <c:formatCode>General</c:formatCode>
                <c:ptCount val="5"/>
                <c:pt idx="0">
                  <c:v>3</c:v>
                </c:pt>
                <c:pt idx="1">
                  <c:v>2</c:v>
                </c:pt>
                <c:pt idx="2">
                  <c:v>1</c:v>
                </c:pt>
                <c:pt idx="3">
                  <c:v>1</c:v>
                </c:pt>
                <c:pt idx="4">
                  <c:v>1</c:v>
                </c:pt>
              </c:numCache>
            </c:numRef>
          </c:val>
          <c:extLst>
            <c:ext xmlns:c16="http://schemas.microsoft.com/office/drawing/2014/chart" uri="{C3380CC4-5D6E-409C-BE32-E72D297353CC}">
              <c16:uniqueId val="{00000000-F5F6-4332-A933-598EC3058F71}"/>
            </c:ext>
          </c:extLst>
        </c:ser>
        <c:dLbls>
          <c:dLblPos val="outEnd"/>
          <c:showLegendKey val="0"/>
          <c:showVal val="1"/>
          <c:showCatName val="0"/>
          <c:showSerName val="0"/>
          <c:showPercent val="0"/>
          <c:showBubbleSize val="0"/>
        </c:dLbls>
        <c:gapWidth val="182"/>
        <c:axId val="877073056"/>
        <c:axId val="877071416"/>
      </c:barChart>
      <c:catAx>
        <c:axId val="87707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877071416"/>
        <c:crosses val="autoZero"/>
        <c:auto val="1"/>
        <c:lblAlgn val="ctr"/>
        <c:lblOffset val="100"/>
        <c:noMultiLvlLbl val="0"/>
      </c:catAx>
      <c:valAx>
        <c:axId val="877071416"/>
        <c:scaling>
          <c:orientation val="minMax"/>
        </c:scaling>
        <c:delete val="1"/>
        <c:axPos val="b"/>
        <c:numFmt formatCode="General" sourceLinked="1"/>
        <c:majorTickMark val="none"/>
        <c:minorTickMark val="none"/>
        <c:tickLblPos val="nextTo"/>
        <c:crossAx val="8770730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dataset.xlsx]Analysis!PivotTable9</c:name>
    <c:fmtId val="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latin typeface="Times New Roman" panose="02020603050405020304" pitchFamily="18" charset="0"/>
                <a:cs typeface="Times New Roman" panose="02020603050405020304" pitchFamily="18" charset="0"/>
              </a:rPr>
              <a:t>Revenue per Segment</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6">
              <a:lumMod val="50000"/>
            </a:schemeClr>
          </a:solidFill>
          <a:ln>
            <a:noFill/>
          </a:ln>
          <a:effectLst/>
        </c:spPr>
      </c:pivotFmt>
    </c:pivotFmts>
    <c:plotArea>
      <c:layout/>
      <c:barChart>
        <c:barDir val="bar"/>
        <c:grouping val="clustered"/>
        <c:varyColors val="0"/>
        <c:ser>
          <c:idx val="0"/>
          <c:order val="0"/>
          <c:tx>
            <c:strRef>
              <c:f>Analysis!$J$45</c:f>
              <c:strCache>
                <c:ptCount val="1"/>
                <c:pt idx="0">
                  <c:v>Total</c:v>
                </c:pt>
              </c:strCache>
            </c:strRef>
          </c:tx>
          <c:spPr>
            <a:solidFill>
              <a:schemeClr val="accent6"/>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0-6CDF-4D2E-9F13-A92E924BC2F3}"/>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Analysis!$I$46:$I$50</c:f>
              <c:strCache>
                <c:ptCount val="5"/>
                <c:pt idx="0">
                  <c:v>VIP</c:v>
                </c:pt>
                <c:pt idx="1">
                  <c:v>Regular</c:v>
                </c:pt>
                <c:pt idx="2">
                  <c:v>Low Value</c:v>
                </c:pt>
                <c:pt idx="3">
                  <c:v>High Value</c:v>
                </c:pt>
                <c:pt idx="4">
                  <c:v>At Risk</c:v>
                </c:pt>
              </c:strCache>
            </c:strRef>
          </c:cat>
          <c:val>
            <c:numRef>
              <c:f>Analysis!$J$46:$J$50</c:f>
              <c:numCache>
                <c:formatCode>[&gt;=1000000]\₦0.00,,"M"\ ;[&gt;=1000]\ \₦0.0,\ "K"\ ;\ 0</c:formatCode>
                <c:ptCount val="5"/>
                <c:pt idx="0">
                  <c:v>2383000</c:v>
                </c:pt>
                <c:pt idx="1">
                  <c:v>590000</c:v>
                </c:pt>
                <c:pt idx="2">
                  <c:v>40000</c:v>
                </c:pt>
                <c:pt idx="3">
                  <c:v>395000</c:v>
                </c:pt>
                <c:pt idx="4">
                  <c:v>180000</c:v>
                </c:pt>
              </c:numCache>
            </c:numRef>
          </c:val>
          <c:extLst>
            <c:ext xmlns:c16="http://schemas.microsoft.com/office/drawing/2014/chart" uri="{C3380CC4-5D6E-409C-BE32-E72D297353CC}">
              <c16:uniqueId val="{00000000-C021-40AE-B673-A045BC7041BF}"/>
            </c:ext>
          </c:extLst>
        </c:ser>
        <c:dLbls>
          <c:dLblPos val="outEnd"/>
          <c:showLegendKey val="0"/>
          <c:showVal val="1"/>
          <c:showCatName val="0"/>
          <c:showSerName val="0"/>
          <c:showPercent val="0"/>
          <c:showBubbleSize val="0"/>
        </c:dLbls>
        <c:gapWidth val="182"/>
        <c:axId val="406489408"/>
        <c:axId val="406490720"/>
      </c:barChart>
      <c:catAx>
        <c:axId val="406489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406490720"/>
        <c:crosses val="autoZero"/>
        <c:auto val="1"/>
        <c:lblAlgn val="ctr"/>
        <c:lblOffset val="100"/>
        <c:noMultiLvlLbl val="0"/>
      </c:catAx>
      <c:valAx>
        <c:axId val="406490720"/>
        <c:scaling>
          <c:orientation val="minMax"/>
        </c:scaling>
        <c:delete val="1"/>
        <c:axPos val="b"/>
        <c:numFmt formatCode="[&gt;=1000000]\₦0.00,,&quot;M&quot;\ ;[&gt;=1000]\ \₦0.0,\ &quot;K&quot;\ ;\ 0" sourceLinked="1"/>
        <c:majorTickMark val="none"/>
        <c:minorTickMark val="none"/>
        <c:tickLblPos val="nextTo"/>
        <c:crossAx val="4064894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dataset.xlsx]Analysis!PivotTable3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Times New Roman" panose="02020603050405020304" pitchFamily="18" charset="0"/>
                <a:cs typeface="Times New Roman" panose="02020603050405020304" pitchFamily="18" charset="0"/>
              </a:rPr>
              <a:t>Products by Revenue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6">
              <a:lumMod val="50000"/>
            </a:schemeClr>
          </a:solidFill>
          <a:ln>
            <a:noFill/>
          </a:ln>
          <a:effectLst/>
        </c:spPr>
      </c:pivotFmt>
    </c:pivotFmts>
    <c:plotArea>
      <c:layout/>
      <c:barChart>
        <c:barDir val="bar"/>
        <c:grouping val="clustered"/>
        <c:varyColors val="0"/>
        <c:ser>
          <c:idx val="0"/>
          <c:order val="0"/>
          <c:tx>
            <c:strRef>
              <c:f>Analysis!$E$8</c:f>
              <c:strCache>
                <c:ptCount val="1"/>
                <c:pt idx="0">
                  <c:v>Total</c:v>
                </c:pt>
              </c:strCache>
            </c:strRef>
          </c:tx>
          <c:spPr>
            <a:solidFill>
              <a:schemeClr val="accent6"/>
            </a:solidFill>
            <a:ln>
              <a:noFill/>
            </a:ln>
            <a:effectLst/>
          </c:spPr>
          <c:invertIfNegative val="0"/>
          <c:dPt>
            <c:idx val="4"/>
            <c:invertIfNegative val="0"/>
            <c:bubble3D val="0"/>
            <c:spPr>
              <a:solidFill>
                <a:schemeClr val="accent6">
                  <a:lumMod val="50000"/>
                </a:schemeClr>
              </a:solidFill>
              <a:ln>
                <a:noFill/>
              </a:ln>
              <a:effectLst/>
            </c:spPr>
            <c:extLst>
              <c:ext xmlns:c16="http://schemas.microsoft.com/office/drawing/2014/chart" uri="{C3380CC4-5D6E-409C-BE32-E72D297353CC}">
                <c16:uniqueId val="{00000001-9CC5-4289-AAE0-94E48E09E22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Analysis!$D$9:$D$13</c:f>
              <c:strCache>
                <c:ptCount val="5"/>
                <c:pt idx="0">
                  <c:v>Headphones</c:v>
                </c:pt>
                <c:pt idx="1">
                  <c:v>Laptop</c:v>
                </c:pt>
                <c:pt idx="2">
                  <c:v>Monitor</c:v>
                </c:pt>
                <c:pt idx="3">
                  <c:v>Mouse</c:v>
                </c:pt>
                <c:pt idx="4">
                  <c:v>Phone</c:v>
                </c:pt>
              </c:strCache>
            </c:strRef>
          </c:cat>
          <c:val>
            <c:numRef>
              <c:f>Analysis!$E$9:$E$13</c:f>
              <c:numCache>
                <c:formatCode>[&gt;=1000000]\₦0.00,,"M"\ ;[&gt;=1000]\ \₦0.0,\ "K"\ ;\ 0</c:formatCode>
                <c:ptCount val="5"/>
                <c:pt idx="0">
                  <c:v>225000</c:v>
                </c:pt>
                <c:pt idx="1">
                  <c:v>1400000</c:v>
                </c:pt>
                <c:pt idx="2">
                  <c:v>360000</c:v>
                </c:pt>
                <c:pt idx="3">
                  <c:v>88000</c:v>
                </c:pt>
                <c:pt idx="4">
                  <c:v>1440000</c:v>
                </c:pt>
              </c:numCache>
            </c:numRef>
          </c:val>
          <c:extLst>
            <c:ext xmlns:c16="http://schemas.microsoft.com/office/drawing/2014/chart" uri="{C3380CC4-5D6E-409C-BE32-E72D297353CC}">
              <c16:uniqueId val="{00000002-626D-4176-B85D-73DB01E559FF}"/>
            </c:ext>
          </c:extLst>
        </c:ser>
        <c:dLbls>
          <c:dLblPos val="outEnd"/>
          <c:showLegendKey val="0"/>
          <c:showVal val="1"/>
          <c:showCatName val="0"/>
          <c:showSerName val="0"/>
          <c:showPercent val="0"/>
          <c:showBubbleSize val="0"/>
        </c:dLbls>
        <c:gapWidth val="182"/>
        <c:axId val="688554592"/>
        <c:axId val="688553280"/>
      </c:barChart>
      <c:catAx>
        <c:axId val="68855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88553280"/>
        <c:crosses val="autoZero"/>
        <c:auto val="1"/>
        <c:lblAlgn val="ctr"/>
        <c:lblOffset val="100"/>
        <c:noMultiLvlLbl val="0"/>
      </c:catAx>
      <c:valAx>
        <c:axId val="688553280"/>
        <c:scaling>
          <c:orientation val="minMax"/>
        </c:scaling>
        <c:delete val="1"/>
        <c:axPos val="b"/>
        <c:numFmt formatCode="[&gt;=1000000]\₦0.00,,&quot;M&quot;\ ;[&gt;=1000]\ \₦0.0,\ &quot;K&quot;\ ;\ 0" sourceLinked="1"/>
        <c:majorTickMark val="none"/>
        <c:minorTickMark val="none"/>
        <c:tickLblPos val="nextTo"/>
        <c:crossAx val="6885545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dataset.xlsx]Analysis!PivotTable11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Times New Roman" panose="02020603050405020304" pitchFamily="18" charset="0"/>
                <a:cs typeface="Times New Roman" panose="02020603050405020304" pitchFamily="18" charset="0"/>
              </a:rPr>
              <a:t>Quantity</a:t>
            </a:r>
            <a:r>
              <a:rPr lang="en-US" b="1" baseline="0">
                <a:solidFill>
                  <a:sysClr val="windowText" lastClr="000000"/>
                </a:solidFill>
                <a:latin typeface="Times New Roman" panose="02020603050405020304" pitchFamily="18" charset="0"/>
                <a:cs typeface="Times New Roman" panose="02020603050405020304" pitchFamily="18" charset="0"/>
              </a:rPr>
              <a:t> Sold per Products</a:t>
            </a:r>
            <a:endParaRPr lang="en-US" b="1">
              <a:solidFill>
                <a:sysClr val="windowText" lastClr="000000"/>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6">
              <a:lumMod val="50000"/>
            </a:schemeClr>
          </a:solidFill>
          <a:ln>
            <a:noFill/>
          </a:ln>
          <a:effectLst/>
        </c:spPr>
      </c:pivotFmt>
    </c:pivotFmts>
    <c:plotArea>
      <c:layout/>
      <c:barChart>
        <c:barDir val="col"/>
        <c:grouping val="clustered"/>
        <c:varyColors val="0"/>
        <c:ser>
          <c:idx val="0"/>
          <c:order val="0"/>
          <c:tx>
            <c:strRef>
              <c:f>Analysis!$O$8</c:f>
              <c:strCache>
                <c:ptCount val="1"/>
                <c:pt idx="0">
                  <c:v>Total</c:v>
                </c:pt>
              </c:strCache>
            </c:strRef>
          </c:tx>
          <c:spPr>
            <a:solidFill>
              <a:schemeClr val="accent6"/>
            </a:solidFill>
            <a:ln>
              <a:noFill/>
            </a:ln>
            <a:effectLst/>
          </c:spPr>
          <c:invertIfNegative val="0"/>
          <c:dPt>
            <c:idx val="4"/>
            <c:invertIfNegative val="0"/>
            <c:bubble3D val="0"/>
            <c:spPr>
              <a:solidFill>
                <a:schemeClr val="accent6">
                  <a:lumMod val="50000"/>
                </a:schemeClr>
              </a:solidFill>
              <a:ln>
                <a:noFill/>
              </a:ln>
              <a:effectLst/>
            </c:spPr>
            <c:extLst>
              <c:ext xmlns:c16="http://schemas.microsoft.com/office/drawing/2014/chart" uri="{C3380CC4-5D6E-409C-BE32-E72D297353CC}">
                <c16:uniqueId val="{00000001-14DA-4CD0-A0D4-D047AA7A74F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Analysis!$N$9:$N$14</c:f>
              <c:strCache>
                <c:ptCount val="6"/>
                <c:pt idx="0">
                  <c:v>Headphones</c:v>
                </c:pt>
                <c:pt idx="1">
                  <c:v>Keyboard</c:v>
                </c:pt>
                <c:pt idx="2">
                  <c:v>Laptop</c:v>
                </c:pt>
                <c:pt idx="3">
                  <c:v>Monitor</c:v>
                </c:pt>
                <c:pt idx="4">
                  <c:v>Mouse</c:v>
                </c:pt>
                <c:pt idx="5">
                  <c:v>Phone</c:v>
                </c:pt>
              </c:strCache>
            </c:strRef>
          </c:cat>
          <c:val>
            <c:numRef>
              <c:f>Analysis!$O$9:$O$14</c:f>
              <c:numCache>
                <c:formatCode>General</c:formatCode>
                <c:ptCount val="6"/>
                <c:pt idx="0">
                  <c:v>9</c:v>
                </c:pt>
                <c:pt idx="1">
                  <c:v>5</c:v>
                </c:pt>
                <c:pt idx="2">
                  <c:v>4</c:v>
                </c:pt>
                <c:pt idx="3">
                  <c:v>3</c:v>
                </c:pt>
                <c:pt idx="4">
                  <c:v>11</c:v>
                </c:pt>
                <c:pt idx="5">
                  <c:v>8</c:v>
                </c:pt>
              </c:numCache>
            </c:numRef>
          </c:val>
          <c:extLst>
            <c:ext xmlns:c16="http://schemas.microsoft.com/office/drawing/2014/chart" uri="{C3380CC4-5D6E-409C-BE32-E72D297353CC}">
              <c16:uniqueId val="{00000002-7A78-48F2-BC77-B2A6DC1760C1}"/>
            </c:ext>
          </c:extLst>
        </c:ser>
        <c:dLbls>
          <c:dLblPos val="outEnd"/>
          <c:showLegendKey val="0"/>
          <c:showVal val="1"/>
          <c:showCatName val="0"/>
          <c:showSerName val="0"/>
          <c:showPercent val="0"/>
          <c:showBubbleSize val="0"/>
        </c:dLbls>
        <c:gapWidth val="219"/>
        <c:overlap val="-27"/>
        <c:axId val="688556560"/>
        <c:axId val="688565744"/>
      </c:barChart>
      <c:catAx>
        <c:axId val="68855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88565744"/>
        <c:crosses val="autoZero"/>
        <c:auto val="1"/>
        <c:lblAlgn val="ctr"/>
        <c:lblOffset val="100"/>
        <c:noMultiLvlLbl val="0"/>
      </c:catAx>
      <c:valAx>
        <c:axId val="688565744"/>
        <c:scaling>
          <c:orientation val="minMax"/>
        </c:scaling>
        <c:delete val="1"/>
        <c:axPos val="l"/>
        <c:numFmt formatCode="General" sourceLinked="1"/>
        <c:majorTickMark val="none"/>
        <c:minorTickMark val="none"/>
        <c:tickLblPos val="nextTo"/>
        <c:crossAx val="6885565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8.svg"/><Relationship Id="rId18" Type="http://schemas.openxmlformats.org/officeDocument/2006/relationships/image" Target="../media/image3.png"/><Relationship Id="rId26" Type="http://schemas.openxmlformats.org/officeDocument/2006/relationships/hyperlink" Target="#Analysis!A1"/><Relationship Id="rId3" Type="http://schemas.openxmlformats.org/officeDocument/2006/relationships/chart" Target="../charts/chart3.xml"/><Relationship Id="rId21" Type="http://schemas.openxmlformats.org/officeDocument/2006/relationships/image" Target="../media/image4.png"/><Relationship Id="rId17" Type="http://schemas.openxmlformats.org/officeDocument/2006/relationships/image" Target="../media/image12.svg"/><Relationship Id="rId12" Type="http://schemas.openxmlformats.org/officeDocument/2006/relationships/image" Target="../media/image16.svg"/><Relationship Id="rId25" Type="http://schemas.openxmlformats.org/officeDocument/2006/relationships/image" Target="../media/image6.png"/><Relationship Id="rId2" Type="http://schemas.openxmlformats.org/officeDocument/2006/relationships/chart" Target="../charts/chart2.xml"/><Relationship Id="rId20"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2.svg"/><Relationship Id="rId24" Type="http://schemas.openxmlformats.org/officeDocument/2006/relationships/hyperlink" Target="#Dashboard!A1"/><Relationship Id="rId5" Type="http://schemas.openxmlformats.org/officeDocument/2006/relationships/image" Target="../media/image1.png"/><Relationship Id="rId23" Type="http://schemas.openxmlformats.org/officeDocument/2006/relationships/image" Target="../media/image5.png"/><Relationship Id="rId15" Type="http://schemas.openxmlformats.org/officeDocument/2006/relationships/image" Target="../media/image18.svg"/><Relationship Id="rId28" Type="http://schemas.openxmlformats.org/officeDocument/2006/relationships/image" Target="../media/image14.svg"/><Relationship Id="rId19" Type="http://schemas.openxmlformats.org/officeDocument/2006/relationships/chart" Target="../charts/chart5.xml"/><Relationship Id="rId4" Type="http://schemas.openxmlformats.org/officeDocument/2006/relationships/chart" Target="../charts/chart4.xml"/><Relationship Id="rId14" Type="http://schemas.openxmlformats.org/officeDocument/2006/relationships/image" Target="../media/image2.png"/><Relationship Id="rId9" Type="http://schemas.openxmlformats.org/officeDocument/2006/relationships/image" Target="../media/image4.svg"/><Relationship Id="rId22" Type="http://schemas.openxmlformats.org/officeDocument/2006/relationships/hyperlink" Target="#Worksheet!A1"/><Relationship Id="rId27"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212724</xdr:colOff>
      <xdr:row>4</xdr:row>
      <xdr:rowOff>184150</xdr:rowOff>
    </xdr:from>
    <xdr:to>
      <xdr:col>36</xdr:col>
      <xdr:colOff>388936</xdr:colOff>
      <xdr:row>48</xdr:row>
      <xdr:rowOff>60325</xdr:rowOff>
    </xdr:to>
    <xdr:grpSp>
      <xdr:nvGrpSpPr>
        <xdr:cNvPr id="26" name="Group 25"/>
        <xdr:cNvGrpSpPr/>
      </xdr:nvGrpSpPr>
      <xdr:grpSpPr>
        <a:xfrm>
          <a:off x="212724" y="946150"/>
          <a:ext cx="22332827" cy="8258175"/>
          <a:chOff x="371474" y="1676400"/>
          <a:chExt cx="22274212" cy="8258175"/>
        </a:xfrm>
      </xdr:grpSpPr>
      <xdr:grpSp>
        <xdr:nvGrpSpPr>
          <xdr:cNvPr id="15" name="Group 14"/>
          <xdr:cNvGrpSpPr/>
        </xdr:nvGrpSpPr>
        <xdr:grpSpPr>
          <a:xfrm>
            <a:off x="371474" y="1676400"/>
            <a:ext cx="22274212" cy="8258175"/>
            <a:chOff x="371474" y="1676400"/>
            <a:chExt cx="22036087" cy="8258175"/>
          </a:xfrm>
        </xdr:grpSpPr>
        <xdr:grpSp>
          <xdr:nvGrpSpPr>
            <xdr:cNvPr id="18" name="Group 17"/>
            <xdr:cNvGrpSpPr/>
          </xdr:nvGrpSpPr>
          <xdr:grpSpPr>
            <a:xfrm>
              <a:off x="371474" y="1676400"/>
              <a:ext cx="22036087" cy="8258175"/>
              <a:chOff x="371474" y="1676400"/>
              <a:chExt cx="17053012" cy="8258175"/>
            </a:xfrm>
          </xdr:grpSpPr>
          <xdr:grpSp>
            <xdr:nvGrpSpPr>
              <xdr:cNvPr id="17" name="Group 16"/>
              <xdr:cNvGrpSpPr/>
            </xdr:nvGrpSpPr>
            <xdr:grpSpPr>
              <a:xfrm>
                <a:off x="371474" y="1676400"/>
                <a:ext cx="17053012" cy="8258175"/>
                <a:chOff x="371474" y="1676400"/>
                <a:chExt cx="17023758" cy="8258175"/>
              </a:xfrm>
            </xdr:grpSpPr>
            <xdr:grpSp>
              <xdr:nvGrpSpPr>
                <xdr:cNvPr id="11" name="Group 10"/>
                <xdr:cNvGrpSpPr/>
              </xdr:nvGrpSpPr>
              <xdr:grpSpPr>
                <a:xfrm>
                  <a:off x="371474" y="1676400"/>
                  <a:ext cx="17023758" cy="8248650"/>
                  <a:chOff x="-314326" y="1676400"/>
                  <a:chExt cx="17152476" cy="8248650"/>
                </a:xfrm>
              </xdr:grpSpPr>
              <xdr:grpSp>
                <xdr:nvGrpSpPr>
                  <xdr:cNvPr id="10" name="Group 9"/>
                  <xdr:cNvGrpSpPr/>
                </xdr:nvGrpSpPr>
                <xdr:grpSpPr>
                  <a:xfrm>
                    <a:off x="-314326" y="1676400"/>
                    <a:ext cx="17152476" cy="8248650"/>
                    <a:chOff x="-314326" y="1790700"/>
                    <a:chExt cx="17152476" cy="8248650"/>
                  </a:xfrm>
                </xdr:grpSpPr>
                <xdr:grpSp>
                  <xdr:nvGrpSpPr>
                    <xdr:cNvPr id="27" name="Group 26"/>
                    <xdr:cNvGrpSpPr/>
                  </xdr:nvGrpSpPr>
                  <xdr:grpSpPr>
                    <a:xfrm>
                      <a:off x="-314326" y="1790700"/>
                      <a:ext cx="17152476" cy="8248650"/>
                      <a:chOff x="-314326" y="1790700"/>
                      <a:chExt cx="17152476" cy="8248650"/>
                    </a:xfrm>
                  </xdr:grpSpPr>
                  <xdr:grpSp>
                    <xdr:nvGrpSpPr>
                      <xdr:cNvPr id="19" name="Group 18"/>
                      <xdr:cNvGrpSpPr/>
                    </xdr:nvGrpSpPr>
                    <xdr:grpSpPr>
                      <a:xfrm>
                        <a:off x="-314326" y="1790700"/>
                        <a:ext cx="17152476" cy="8248650"/>
                        <a:chOff x="-314326" y="1790700"/>
                        <a:chExt cx="17152476" cy="8248650"/>
                      </a:xfrm>
                    </xdr:grpSpPr>
                    <xdr:grpSp>
                      <xdr:nvGrpSpPr>
                        <xdr:cNvPr id="13" name="Group 12"/>
                        <xdr:cNvGrpSpPr/>
                      </xdr:nvGrpSpPr>
                      <xdr:grpSpPr>
                        <a:xfrm>
                          <a:off x="-314326" y="1790700"/>
                          <a:ext cx="17152476" cy="8248650"/>
                          <a:chOff x="-978927" y="1790700"/>
                          <a:chExt cx="22472299" cy="8248650"/>
                        </a:xfrm>
                      </xdr:grpSpPr>
                      <xdr:grpSp>
                        <xdr:nvGrpSpPr>
                          <xdr:cNvPr id="7" name="Group 6"/>
                          <xdr:cNvGrpSpPr/>
                        </xdr:nvGrpSpPr>
                        <xdr:grpSpPr>
                          <a:xfrm>
                            <a:off x="-978927" y="1790700"/>
                            <a:ext cx="22472299" cy="8248650"/>
                            <a:chOff x="-978927" y="1790700"/>
                            <a:chExt cx="22472299" cy="8248650"/>
                          </a:xfrm>
                        </xdr:grpSpPr>
                        <xdr:sp macro="" textlink="">
                          <xdr:nvSpPr>
                            <xdr:cNvPr id="2" name="Rounded Rectangle 1"/>
                            <xdr:cNvSpPr/>
                          </xdr:nvSpPr>
                          <xdr:spPr>
                            <a:xfrm>
                              <a:off x="-978927" y="1790700"/>
                              <a:ext cx="22472299" cy="8248650"/>
                            </a:xfrm>
                            <a:prstGeom prst="roundRect">
                              <a:avLst>
                                <a:gd name="adj" fmla="val 840"/>
                              </a:avLst>
                            </a:prstGeom>
                            <a:solidFill>
                              <a:schemeClr val="accent6">
                                <a:lumMod val="40000"/>
                                <a:lumOff val="60000"/>
                              </a:schemeClr>
                            </a:solidFill>
                            <a:ln>
                              <a:solidFill>
                                <a:schemeClr val="accent6">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sp macro="" textlink="">
                          <xdr:nvSpPr>
                            <xdr:cNvPr id="3" name="Rounded Rectangle 2"/>
                            <xdr:cNvSpPr/>
                          </xdr:nvSpPr>
                          <xdr:spPr>
                            <a:xfrm>
                              <a:off x="418742" y="3981450"/>
                              <a:ext cx="6264543" cy="2733675"/>
                            </a:xfrm>
                            <a:prstGeom prst="roundRect">
                              <a:avLst>
                                <a:gd name="adj" fmla="val 840"/>
                              </a:avLst>
                            </a:prstGeom>
                            <a:solidFill>
                              <a:sysClr val="window" lastClr="FFFFFF"/>
                            </a:solidFill>
                            <a:ln>
                              <a:solidFill>
                                <a:schemeClr val="accent6">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sp macro="" textlink="">
                          <xdr:nvSpPr>
                            <xdr:cNvPr id="4" name="Rounded Rectangle 3"/>
                            <xdr:cNvSpPr/>
                          </xdr:nvSpPr>
                          <xdr:spPr>
                            <a:xfrm>
                              <a:off x="435845" y="2666999"/>
                              <a:ext cx="9959796" cy="1266825"/>
                            </a:xfrm>
                            <a:prstGeom prst="roundRect">
                              <a:avLst>
                                <a:gd name="adj" fmla="val 3062"/>
                              </a:avLst>
                            </a:prstGeom>
                            <a:solidFill>
                              <a:sysClr val="window" lastClr="FFFFFF"/>
                            </a:solidFill>
                            <a:ln>
                              <a:solidFill>
                                <a:schemeClr val="accent6">
                                  <a:lumMod val="40000"/>
                                  <a:lumOff val="60000"/>
                                </a:schemeClr>
                              </a:solidFill>
                            </a:ln>
                            <a:effectLst/>
                            <a:scene3d>
                              <a:camera prst="orthographicFront">
                                <a:rot lat="0" lon="0" rev="0"/>
                              </a:camera>
                              <a:lightRig rig="glow" dir="t">
                                <a:rot lat="0" lon="0" rev="14100000"/>
                              </a:lightRig>
                            </a:scene3d>
                            <a:sp3d prstMaterial="softEdge">
                              <a:bevelT w="1270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sp macro="" textlink="">
                          <xdr:nvSpPr>
                            <xdr:cNvPr id="5" name="Rounded Rectangle 4"/>
                            <xdr:cNvSpPr/>
                          </xdr:nvSpPr>
                          <xdr:spPr>
                            <a:xfrm>
                              <a:off x="11699908" y="3981450"/>
                              <a:ext cx="9635619" cy="5943600"/>
                            </a:xfrm>
                            <a:prstGeom prst="roundRect">
                              <a:avLst>
                                <a:gd name="adj" fmla="val 840"/>
                              </a:avLst>
                            </a:prstGeom>
                            <a:solidFill>
                              <a:sysClr val="window" lastClr="FFFFFF"/>
                            </a:solidFill>
                            <a:ln>
                              <a:solidFill>
                                <a:schemeClr val="accent6">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sp macro="" textlink="">
                          <xdr:nvSpPr>
                            <xdr:cNvPr id="6" name="Rounded Rectangle 5"/>
                            <xdr:cNvSpPr/>
                          </xdr:nvSpPr>
                          <xdr:spPr>
                            <a:xfrm>
                              <a:off x="423177" y="6772275"/>
                              <a:ext cx="11214336" cy="3162300"/>
                            </a:xfrm>
                            <a:prstGeom prst="roundRect">
                              <a:avLst>
                                <a:gd name="adj" fmla="val 840"/>
                              </a:avLst>
                            </a:prstGeom>
                            <a:solidFill>
                              <a:sysClr val="window" lastClr="FFFFFF"/>
                            </a:solidFill>
                            <a:ln>
                              <a:solidFill>
                                <a:schemeClr val="accent6">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grpSp>
                      <xdr:cxnSp macro="">
                        <xdr:nvCxnSpPr>
                          <xdr:cNvPr id="22" name="Straight Connector 21"/>
                          <xdr:cNvCxnSpPr/>
                        </xdr:nvCxnSpPr>
                        <xdr:spPr>
                          <a:xfrm>
                            <a:off x="2893953" y="2790825"/>
                            <a:ext cx="0" cy="981075"/>
                          </a:xfrm>
                          <a:prstGeom prst="line">
                            <a:avLst/>
                          </a:prstGeom>
                          <a:ln w="0">
                            <a:solidFill>
                              <a:schemeClr val="tx1">
                                <a:alpha val="16000"/>
                              </a:schemeClr>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23" name="Straight Connector 22"/>
                          <xdr:cNvCxnSpPr/>
                        </xdr:nvCxnSpPr>
                        <xdr:spPr>
                          <a:xfrm>
                            <a:off x="5051770" y="2790825"/>
                            <a:ext cx="0" cy="981075"/>
                          </a:xfrm>
                          <a:prstGeom prst="line">
                            <a:avLst/>
                          </a:prstGeom>
                          <a:ln w="0">
                            <a:solidFill>
                              <a:schemeClr val="tx1">
                                <a:alpha val="16000"/>
                              </a:schemeClr>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24" name="Straight Connector 23"/>
                          <xdr:cNvCxnSpPr/>
                        </xdr:nvCxnSpPr>
                        <xdr:spPr>
                          <a:xfrm>
                            <a:off x="7187650" y="2800350"/>
                            <a:ext cx="0" cy="981075"/>
                          </a:xfrm>
                          <a:prstGeom prst="line">
                            <a:avLst/>
                          </a:prstGeom>
                          <a:ln w="0">
                            <a:solidFill>
                              <a:schemeClr val="tx1">
                                <a:alpha val="16000"/>
                              </a:schemeClr>
                            </a:solidFill>
                            <a:prstDash val="sysDash"/>
                          </a:ln>
                        </xdr:spPr>
                        <xdr:style>
                          <a:lnRef idx="1">
                            <a:schemeClr val="accent1"/>
                          </a:lnRef>
                          <a:fillRef idx="0">
                            <a:schemeClr val="accent1"/>
                          </a:fillRef>
                          <a:effectRef idx="0">
                            <a:schemeClr val="accent1"/>
                          </a:effectRef>
                          <a:fontRef idx="minor">
                            <a:schemeClr val="tx1"/>
                          </a:fontRef>
                        </xdr:style>
                      </xdr:cxnSp>
                    </xdr:grpSp>
                    <xdr:graphicFrame macro="">
                      <xdr:nvGraphicFramePr>
                        <xdr:cNvPr id="16" name="Chart 15"/>
                        <xdr:cNvGraphicFramePr>
                          <a:graphicFrameLocks/>
                        </xdr:cNvGraphicFramePr>
                      </xdr:nvGraphicFramePr>
                      <xdr:xfrm>
                        <a:off x="752475" y="3981450"/>
                        <a:ext cx="4791075" cy="2724149"/>
                      </xdr:xfrm>
                      <a:graphic>
                        <a:graphicData uri="http://schemas.openxmlformats.org/drawingml/2006/chart">
                          <c:chart xmlns:c="http://schemas.openxmlformats.org/drawingml/2006/chart" xmlns:r="http://schemas.openxmlformats.org/officeDocument/2006/relationships" r:id="rId1"/>
                        </a:graphicData>
                      </a:graphic>
                    </xdr:graphicFrame>
                  </xdr:grpSp>
                  <xdr:sp macro="" textlink="">
                    <xdr:nvSpPr>
                      <xdr:cNvPr id="20" name="Rounded Rectangle 19"/>
                      <xdr:cNvSpPr/>
                    </xdr:nvSpPr>
                    <xdr:spPr>
                      <a:xfrm>
                        <a:off x="5572126" y="3981450"/>
                        <a:ext cx="3733799" cy="2733675"/>
                      </a:xfrm>
                      <a:prstGeom prst="roundRect">
                        <a:avLst>
                          <a:gd name="adj" fmla="val 131"/>
                        </a:avLst>
                      </a:prstGeom>
                      <a:solidFill>
                        <a:sysClr val="window" lastClr="FFFFFF"/>
                      </a:solidFill>
                      <a:ln>
                        <a:solidFill>
                          <a:schemeClr val="accent6">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graphicFrame macro="">
                    <xdr:nvGraphicFramePr>
                      <xdr:cNvPr id="21" name="Chart 20"/>
                      <xdr:cNvGraphicFramePr>
                        <a:graphicFrameLocks/>
                      </xdr:cNvGraphicFramePr>
                    </xdr:nvGraphicFramePr>
                    <xdr:xfrm>
                      <a:off x="5572126" y="3981451"/>
                      <a:ext cx="3733799" cy="2733674"/>
                    </xdr:xfrm>
                    <a:graphic>
                      <a:graphicData uri="http://schemas.openxmlformats.org/drawingml/2006/chart">
                        <c:chart xmlns:c="http://schemas.openxmlformats.org/drawingml/2006/chart" xmlns:r="http://schemas.openxmlformats.org/officeDocument/2006/relationships" r:id="rId2"/>
                      </a:graphicData>
                    </a:graphic>
                  </xdr:graphicFrame>
                  <xdr:cxnSp macro="">
                    <xdr:nvCxnSpPr>
                      <xdr:cNvPr id="25" name="Straight Connector 24"/>
                      <xdr:cNvCxnSpPr/>
                    </xdr:nvCxnSpPr>
                    <xdr:spPr>
                      <a:xfrm>
                        <a:off x="4838700" y="7353298"/>
                        <a:ext cx="0" cy="1920240"/>
                      </a:xfrm>
                      <a:prstGeom prst="line">
                        <a:avLst/>
                      </a:prstGeom>
                      <a:ln w="0">
                        <a:solidFill>
                          <a:schemeClr val="tx1">
                            <a:alpha val="16000"/>
                          </a:schemeClr>
                        </a:solidFill>
                        <a:prstDash val="sysDash"/>
                      </a:ln>
                    </xdr:spPr>
                    <xdr:style>
                      <a:lnRef idx="1">
                        <a:schemeClr val="accent1"/>
                      </a:lnRef>
                      <a:fillRef idx="0">
                        <a:schemeClr val="accent1"/>
                      </a:fillRef>
                      <a:effectRef idx="0">
                        <a:schemeClr val="accent1"/>
                      </a:effectRef>
                      <a:fontRef idx="minor">
                        <a:schemeClr val="tx1"/>
                      </a:fontRef>
                    </xdr:style>
                  </xdr:cxnSp>
                </xdr:grpSp>
                <xdr:cxnSp macro="">
                  <xdr:nvCxnSpPr>
                    <xdr:cNvPr id="28" name="Straight Connector 27"/>
                    <xdr:cNvCxnSpPr/>
                  </xdr:nvCxnSpPr>
                  <xdr:spPr>
                    <a:xfrm rot="5400000">
                      <a:off x="11492865" y="6025514"/>
                      <a:ext cx="0" cy="2194560"/>
                    </a:xfrm>
                    <a:prstGeom prst="line">
                      <a:avLst/>
                    </a:prstGeom>
                    <a:ln w="0">
                      <a:solidFill>
                        <a:schemeClr val="tx1">
                          <a:alpha val="16000"/>
                        </a:schemeClr>
                      </a:solidFill>
                      <a:prstDash val="sysDash"/>
                    </a:ln>
                  </xdr:spPr>
                  <xdr:style>
                    <a:lnRef idx="1">
                      <a:schemeClr val="accent1"/>
                    </a:lnRef>
                    <a:fillRef idx="0">
                      <a:schemeClr val="accent1"/>
                    </a:fillRef>
                    <a:effectRef idx="0">
                      <a:schemeClr val="accent1"/>
                    </a:effectRef>
                    <a:fontRef idx="minor">
                      <a:schemeClr val="tx1"/>
                    </a:fontRef>
                  </xdr:style>
                </xdr:cxnSp>
                <xdr:graphicFrame macro="">
                  <xdr:nvGraphicFramePr>
                    <xdr:cNvPr id="29" name="Chart 28"/>
                    <xdr:cNvGraphicFramePr>
                      <a:graphicFrameLocks/>
                    </xdr:cNvGraphicFramePr>
                  </xdr:nvGraphicFramePr>
                  <xdr:xfrm>
                    <a:off x="9368464" y="7115175"/>
                    <a:ext cx="3910927" cy="280987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0" name="Chart 29"/>
                    <xdr:cNvGraphicFramePr>
                      <a:graphicFrameLocks/>
                    </xdr:cNvGraphicFramePr>
                  </xdr:nvGraphicFramePr>
                  <xdr:xfrm>
                    <a:off x="9359197" y="3995737"/>
                    <a:ext cx="7349208" cy="3107531"/>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8" name="TextBox 7"/>
                    <xdr:cNvSpPr txBox="1"/>
                  </xdr:nvSpPr>
                  <xdr:spPr>
                    <a:xfrm>
                      <a:off x="953482" y="2747962"/>
                      <a:ext cx="1147680" cy="330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Times New Roman" panose="02020603050405020304" pitchFamily="18" charset="0"/>
                          <a:cs typeface="Times New Roman" panose="02020603050405020304" pitchFamily="18" charset="0"/>
                        </a:rPr>
                        <a:t>Revenue</a:t>
                      </a:r>
                    </a:p>
                  </xdr:txBody>
                </xdr:sp>
                <xdr:sp macro="" textlink="Analysis!A4">
                  <xdr:nvSpPr>
                    <xdr:cNvPr id="31" name="TextBox 30"/>
                    <xdr:cNvSpPr txBox="1"/>
                  </xdr:nvSpPr>
                  <xdr:spPr>
                    <a:xfrm>
                      <a:off x="1435397" y="3162299"/>
                      <a:ext cx="1188611"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131422-9197-42D8-8D97-03B9E67DA2C5}" type="TxLink">
                        <a:rPr lang="en-US" sz="2400" b="1" i="0" u="none" strike="noStrike">
                          <a:solidFill>
                            <a:srgbClr val="000000"/>
                          </a:solidFill>
                          <a:latin typeface="Times New Roman" panose="02020603050405020304" pitchFamily="18" charset="0"/>
                          <a:cs typeface="Times New Roman" panose="02020603050405020304" pitchFamily="18" charset="0"/>
                        </a:rPr>
                        <a:pPr algn="ctr"/>
                        <a:t>₦3.59M </a:t>
                      </a:fld>
                      <a:endParaRPr lang="en-US" sz="2400" b="1">
                        <a:latin typeface="Times New Roman" panose="02020603050405020304" pitchFamily="18" charset="0"/>
                        <a:cs typeface="Times New Roman" panose="02020603050405020304" pitchFamily="18" charset="0"/>
                      </a:endParaRPr>
                    </a:p>
                  </xdr:txBody>
                </xdr:sp>
                <xdr:sp macro="" textlink="">
                  <xdr:nvSpPr>
                    <xdr:cNvPr id="32" name="TextBox 31"/>
                    <xdr:cNvSpPr txBox="1"/>
                  </xdr:nvSpPr>
                  <xdr:spPr>
                    <a:xfrm>
                      <a:off x="2841027" y="2769393"/>
                      <a:ext cx="1254173" cy="300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a:solidFill>
                            <a:schemeClr val="dk1"/>
                          </a:solidFill>
                          <a:latin typeface="Times New Roman" panose="02020603050405020304" pitchFamily="18" charset="0"/>
                          <a:ea typeface="+mn-ea"/>
                          <a:cs typeface="Times New Roman" panose="02020603050405020304" pitchFamily="18" charset="0"/>
                        </a:rPr>
                        <a:t>Quantity Sold</a:t>
                      </a:r>
                    </a:p>
                  </xdr:txBody>
                </xdr:sp>
                <xdr:sp macro="" textlink="Analysis!B4">
                  <xdr:nvSpPr>
                    <xdr:cNvPr id="33" name="TextBox 32"/>
                    <xdr:cNvSpPr txBox="1"/>
                  </xdr:nvSpPr>
                  <xdr:spPr>
                    <a:xfrm>
                      <a:off x="3222540" y="3143249"/>
                      <a:ext cx="8858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77F1441-EB41-4648-89D1-CF701C87F70E}" type="TxLink">
                        <a:rPr lang="en-US" sz="2400" b="1" i="0" u="none" strike="noStrike">
                          <a:solidFill>
                            <a:srgbClr val="000000"/>
                          </a:solidFill>
                          <a:latin typeface="Times New Roman" panose="02020603050405020304" pitchFamily="18" charset="0"/>
                          <a:ea typeface="+mn-ea"/>
                          <a:cs typeface="Times New Roman" panose="02020603050405020304" pitchFamily="18" charset="0"/>
                        </a:rPr>
                        <a:pPr marL="0" indent="0" algn="ctr"/>
                        <a:t>40</a:t>
                      </a:fld>
                      <a:endParaRPr lang="en-US" sz="2400" b="1" i="0" u="none" strike="noStrike">
                        <a:solidFill>
                          <a:srgbClr val="000000"/>
                        </a:solidFill>
                        <a:latin typeface="Times New Roman" panose="02020603050405020304" pitchFamily="18" charset="0"/>
                        <a:ea typeface="+mn-ea"/>
                        <a:cs typeface="Times New Roman" panose="02020603050405020304" pitchFamily="18" charset="0"/>
                      </a:endParaRPr>
                    </a:p>
                  </xdr:txBody>
                </xdr:sp>
                <xdr:sp macro="" textlink="">
                  <xdr:nvSpPr>
                    <xdr:cNvPr id="34" name="TextBox 33"/>
                    <xdr:cNvSpPr txBox="1"/>
                  </xdr:nvSpPr>
                  <xdr:spPr>
                    <a:xfrm>
                      <a:off x="4487821" y="2771774"/>
                      <a:ext cx="13049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a:solidFill>
                            <a:schemeClr val="dk1"/>
                          </a:solidFill>
                          <a:latin typeface="Times New Roman" panose="02020603050405020304" pitchFamily="18" charset="0"/>
                          <a:ea typeface="+mn-ea"/>
                          <a:cs typeface="Times New Roman" panose="02020603050405020304" pitchFamily="18" charset="0"/>
                        </a:rPr>
                        <a:t>Customers</a:t>
                      </a:r>
                    </a:p>
                  </xdr:txBody>
                </xdr:sp>
                <xdr:sp macro="" textlink="Analysis!C4">
                  <xdr:nvSpPr>
                    <xdr:cNvPr id="35" name="TextBox 34"/>
                    <xdr:cNvSpPr txBox="1"/>
                  </xdr:nvSpPr>
                  <xdr:spPr>
                    <a:xfrm>
                      <a:off x="4862129" y="3152774"/>
                      <a:ext cx="91440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3677737-17D6-42F0-8EEC-AABE121E577A}" type="TxLink">
                        <a:rPr lang="en-US" sz="2400" b="1" i="0" u="none" strike="noStrike">
                          <a:solidFill>
                            <a:srgbClr val="000000"/>
                          </a:solidFill>
                          <a:latin typeface="Times New Roman" panose="02020603050405020304" pitchFamily="18" charset="0"/>
                          <a:ea typeface="+mn-ea"/>
                          <a:cs typeface="Times New Roman" panose="02020603050405020304" pitchFamily="18" charset="0"/>
                        </a:rPr>
                        <a:pPr marL="0" indent="0" algn="ctr"/>
                        <a:t>8</a:t>
                      </a:fld>
                      <a:endParaRPr lang="en-US" sz="2400" b="1" i="0" u="none" strike="noStrike">
                        <a:solidFill>
                          <a:srgbClr val="000000"/>
                        </a:solidFill>
                        <a:latin typeface="Times New Roman" panose="02020603050405020304" pitchFamily="18" charset="0"/>
                        <a:ea typeface="+mn-ea"/>
                        <a:cs typeface="Times New Roman" panose="02020603050405020304" pitchFamily="18" charset="0"/>
                      </a:endParaRPr>
                    </a:p>
                  </xdr:txBody>
                </xdr:sp>
                <xdr:sp macro="" textlink="">
                  <xdr:nvSpPr>
                    <xdr:cNvPr id="36" name="TextBox 35"/>
                    <xdr:cNvSpPr txBox="1"/>
                  </xdr:nvSpPr>
                  <xdr:spPr>
                    <a:xfrm>
                      <a:off x="6023147" y="2762249"/>
                      <a:ext cx="1686417" cy="364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latin typeface="Times New Roman" panose="02020603050405020304" pitchFamily="18" charset="0"/>
                          <a:ea typeface="+mn-ea"/>
                          <a:cs typeface="Times New Roman" panose="02020603050405020304" pitchFamily="18" charset="0"/>
                        </a:rPr>
                        <a:t>Average Order </a:t>
                      </a:r>
                      <a:r>
                        <a:rPr lang="en-US" sz="1800" b="1">
                          <a:solidFill>
                            <a:schemeClr val="dk1"/>
                          </a:solidFill>
                          <a:latin typeface="Times New Roman" panose="02020603050405020304" pitchFamily="18" charset="0"/>
                          <a:ea typeface="+mn-ea"/>
                          <a:cs typeface="Times New Roman" panose="02020603050405020304" pitchFamily="18" charset="0"/>
                        </a:rPr>
                        <a:t>Value</a:t>
                      </a:r>
                    </a:p>
                  </xdr:txBody>
                </xdr:sp>
                <xdr:sp macro="" textlink="Analysis!D4">
                  <xdr:nvSpPr>
                    <xdr:cNvPr id="37" name="TextBox 36"/>
                    <xdr:cNvSpPr txBox="1"/>
                  </xdr:nvSpPr>
                  <xdr:spPr>
                    <a:xfrm>
                      <a:off x="6077176" y="3093382"/>
                      <a:ext cx="137160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B0DB118-CAF2-4AB7-A23D-0C829B94AF60}" type="TxLink">
                        <a:rPr lang="en-US" sz="2400" b="1" i="0" u="none" strike="noStrike">
                          <a:solidFill>
                            <a:srgbClr val="000000"/>
                          </a:solidFill>
                          <a:latin typeface="Times New Roman" panose="02020603050405020304" pitchFamily="18" charset="0"/>
                          <a:ea typeface="+mn-ea"/>
                          <a:cs typeface="Times New Roman" panose="02020603050405020304" pitchFamily="18" charset="0"/>
                        </a:rPr>
                        <a:pPr marL="0" indent="0" algn="ctr"/>
                        <a:t> ₦179.4 K </a:t>
                      </a:fld>
                      <a:endParaRPr lang="en-US" sz="2400" b="1" i="0" u="none" strike="noStrike">
                        <a:solidFill>
                          <a:srgbClr val="000000"/>
                        </a:solidFill>
                        <a:latin typeface="Times New Roman" panose="02020603050405020304" pitchFamily="18" charset="0"/>
                        <a:ea typeface="+mn-ea"/>
                        <a:cs typeface="Times New Roman" panose="02020603050405020304" pitchFamily="18" charset="0"/>
                      </a:endParaRPr>
                    </a:p>
                  </xdr:txBody>
                </xdr:sp>
                <xdr:sp macro="" textlink="">
                  <xdr:nvSpPr>
                    <xdr:cNvPr id="9" name="TextBox 8"/>
                    <xdr:cNvSpPr txBox="1"/>
                  </xdr:nvSpPr>
                  <xdr:spPr>
                    <a:xfrm>
                      <a:off x="799135" y="1880755"/>
                      <a:ext cx="5686425" cy="633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600" b="1">
                          <a:latin typeface="Times New Roman" panose="02020603050405020304" pitchFamily="18" charset="0"/>
                          <a:cs typeface="Times New Roman" panose="02020603050405020304" pitchFamily="18" charset="0"/>
                        </a:rPr>
                        <a:t>Sales Performance Dashboard</a:t>
                      </a:r>
                    </a:p>
                  </xdr:txBody>
                </xdr:sp>
              </xdr:grpSp>
              <xdr:pic>
                <xdr:nvPicPr>
                  <xdr:cNvPr id="38" name="Graphic 51" descr="Customer review with solid fill">
                    <a:extLst>
                      <a:ext uri="{FF2B5EF4-FFF2-40B4-BE49-F238E27FC236}">
                        <a16:creationId xmlns:a16="http://schemas.microsoft.com/office/drawing/2014/main" id="{6F840033-0039-48E9-9D22-0A14657BCC7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 xmlns:asvg="http://schemas.microsoft.com/office/drawing/2016/SVG/main" r:embed="rId13"/>
                      </a:ext>
                    </a:extLst>
                  </a:blip>
                  <a:stretch>
                    <a:fillRect/>
                  </a:stretch>
                </xdr:blipFill>
                <xdr:spPr>
                  <a:xfrm>
                    <a:off x="4423206" y="3063278"/>
                    <a:ext cx="474877" cy="532408"/>
                  </a:xfrm>
                  <a:prstGeom prst="rect">
                    <a:avLst/>
                  </a:prstGeom>
                </xdr:spPr>
              </xdr:pic>
              <xdr:pic>
                <xdr:nvPicPr>
                  <xdr:cNvPr id="39" name="Graphic 53" descr="Shopping cart with solid fill">
                    <a:extLst>
                      <a:ext uri="{FF2B5EF4-FFF2-40B4-BE49-F238E27FC236}">
                        <a16:creationId xmlns:a16="http://schemas.microsoft.com/office/drawing/2014/main" id="{038B49BB-E155-40D9-A101-BEF034C4542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xmlns="" r:embed="rId17"/>
                      </a:ext>
                    </a:extLst>
                  </a:blip>
                  <a:stretch>
                    <a:fillRect/>
                  </a:stretch>
                </xdr:blipFill>
                <xdr:spPr>
                  <a:xfrm>
                    <a:off x="2839226" y="3032862"/>
                    <a:ext cx="524995" cy="539012"/>
                  </a:xfrm>
                  <a:prstGeom prst="rect">
                    <a:avLst/>
                  </a:prstGeom>
                </xdr:spPr>
              </xdr:pic>
              <xdr:pic>
                <xdr:nvPicPr>
                  <xdr:cNvPr id="40" name="Graphic 20" descr="Bar chart with solid fill"/>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xmlns="" r:embed="rId9"/>
                      </a:ext>
                    </a:extLst>
                  </a:blip>
                  <a:stretch>
                    <a:fillRect/>
                  </a:stretch>
                </xdr:blipFill>
                <xdr:spPr>
                  <a:xfrm>
                    <a:off x="892517" y="3059906"/>
                    <a:ext cx="542879" cy="584624"/>
                  </a:xfrm>
                  <a:prstGeom prst="rect">
                    <a:avLst/>
                  </a:prstGeom>
                </xdr:spPr>
              </xdr:pic>
            </xdr:grpSp>
            <xdr:sp macro="" textlink="">
              <xdr:nvSpPr>
                <xdr:cNvPr id="12" name="Rounded Rectangle 11"/>
                <xdr:cNvSpPr/>
              </xdr:nvSpPr>
              <xdr:spPr>
                <a:xfrm>
                  <a:off x="371474" y="1676400"/>
                  <a:ext cx="1019736" cy="8258175"/>
                </a:xfrm>
                <a:prstGeom prst="roundRect">
                  <a:avLst>
                    <a:gd name="adj" fmla="val 7389"/>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graphicFrame macro="">
              <xdr:nvGraphicFramePr>
                <xdr:cNvPr id="41" name="Chart 40"/>
                <xdr:cNvGraphicFramePr>
                  <a:graphicFrameLocks/>
                </xdr:cNvGraphicFramePr>
              </xdr:nvGraphicFramePr>
              <xdr:xfrm>
                <a:off x="5513295" y="6663017"/>
                <a:ext cx="4405592" cy="3164542"/>
              </xdr:xfrm>
              <a:graphic>
                <a:graphicData uri="http://schemas.openxmlformats.org/drawingml/2006/chart">
                  <c:chart xmlns:c="http://schemas.openxmlformats.org/drawingml/2006/chart" xmlns:r="http://schemas.openxmlformats.org/officeDocument/2006/relationships" r:id="rId19"/>
                </a:graphicData>
              </a:graphic>
            </xdr:graphicFrame>
            <xdr:graphicFrame macro="">
              <xdr:nvGraphicFramePr>
                <xdr:cNvPr id="42" name="Chart 41"/>
                <xdr:cNvGraphicFramePr>
                  <a:graphicFrameLocks/>
                </xdr:cNvGraphicFramePr>
              </xdr:nvGraphicFramePr>
              <xdr:xfrm>
                <a:off x="1423148" y="6663017"/>
                <a:ext cx="4056528" cy="3153335"/>
              </xdr:xfrm>
              <a:graphic>
                <a:graphicData uri="http://schemas.openxmlformats.org/drawingml/2006/chart">
                  <c:chart xmlns:c="http://schemas.openxmlformats.org/drawingml/2006/chart" xmlns:r="http://schemas.openxmlformats.org/officeDocument/2006/relationships" r:id="rId20"/>
                </a:graphicData>
              </a:graphic>
            </xdr:graphicFrame>
          </xdr:grpSp>
          <xdr:pic>
            <xdr:nvPicPr>
              <xdr:cNvPr id="43" name="Graphic 1" descr="Bank with solid fill"/>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512943" y="2635249"/>
                <a:ext cx="803790" cy="747367"/>
              </a:xfrm>
              <a:prstGeom prst="rect">
                <a:avLst/>
              </a:prstGeom>
            </xdr:spPr>
          </xdr:pic>
          <xdr:pic>
            <xdr:nvPicPr>
              <xdr:cNvPr id="44" name="Graphic 64" descr="House with solid fill">
                <a:hlinkClick xmlns:r="http://schemas.openxmlformats.org/officeDocument/2006/relationships" r:id="rId22"/>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xmlns="" r:embed="rId12"/>
                  </a:ext>
                </a:extLst>
              </a:blip>
              <a:stretch>
                <a:fillRect/>
              </a:stretch>
            </xdr:blipFill>
            <xdr:spPr>
              <a:xfrm>
                <a:off x="541452" y="4574685"/>
                <a:ext cx="764155" cy="771689"/>
              </a:xfrm>
              <a:prstGeom prst="rect">
                <a:avLst/>
              </a:prstGeom>
            </xdr:spPr>
          </xdr:pic>
          <xdr:pic>
            <xdr:nvPicPr>
              <xdr:cNvPr id="45" name="Graphic 65" descr="Monitor with solid fill">
                <a:hlinkClick xmlns:r="http://schemas.openxmlformats.org/officeDocument/2006/relationships" r:id="rId24"/>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xmlns="" r:embed="rId15"/>
                  </a:ext>
                </a:extLst>
              </a:blip>
              <a:stretch>
                <a:fillRect/>
              </a:stretch>
            </xdr:blipFill>
            <xdr:spPr>
              <a:xfrm>
                <a:off x="519072" y="6226235"/>
                <a:ext cx="808915" cy="813249"/>
              </a:xfrm>
              <a:prstGeom prst="rect">
                <a:avLst/>
              </a:prstGeom>
            </xdr:spPr>
          </xdr:pic>
          <xdr:pic>
            <xdr:nvPicPr>
              <xdr:cNvPr id="46" name="Graphic 63" descr="Database with solid fill">
                <a:hlinkClick xmlns:r="http://schemas.openxmlformats.org/officeDocument/2006/relationships" r:id="rId26"/>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 uri="{96DAC541-7B7A-43D3-8B79-37D633B846F1}">
                    <asvg:svgBlip xmlns:asvg="http://schemas.microsoft.com/office/drawing/2016/SVG/main" xmlns="" r:embed="rId28"/>
                  </a:ext>
                </a:extLst>
              </a:blip>
              <a:stretch>
                <a:fillRect/>
              </a:stretch>
            </xdr:blipFill>
            <xdr:spPr>
              <a:xfrm>
                <a:off x="546512" y="7963939"/>
                <a:ext cx="770285" cy="784048"/>
              </a:xfrm>
              <a:prstGeom prst="rect">
                <a:avLst/>
              </a:prstGeom>
            </xdr:spPr>
          </xdr:pic>
        </xdr:grpSp>
        <xdr:cxnSp macro="">
          <xdr:nvCxnSpPr>
            <xdr:cNvPr id="47" name="Straight Connector 46"/>
            <xdr:cNvCxnSpPr/>
          </xdr:nvCxnSpPr>
          <xdr:spPr>
            <a:xfrm rot="5400000">
              <a:off x="16820159" y="8361490"/>
              <a:ext cx="2011680" cy="0"/>
            </a:xfrm>
            <a:prstGeom prst="line">
              <a:avLst/>
            </a:prstGeom>
            <a:ln w="0">
              <a:solidFill>
                <a:schemeClr val="tx1">
                  <a:alpha val="16000"/>
                </a:schemeClr>
              </a:solidFill>
              <a:prstDash val="sysDash"/>
            </a:ln>
          </xdr:spPr>
          <xdr:style>
            <a:lnRef idx="1">
              <a:schemeClr val="accent1"/>
            </a:lnRef>
            <a:fillRef idx="0">
              <a:schemeClr val="accent1"/>
            </a:fillRef>
            <a:effectRef idx="0">
              <a:schemeClr val="accent1"/>
            </a:effectRef>
            <a:fontRef idx="minor">
              <a:schemeClr val="tx1"/>
            </a:fontRef>
          </xdr:style>
        </xdr:cxnSp>
        <xdr:sp macro="" textlink="">
          <xdr:nvSpPr>
            <xdr:cNvPr id="14" name="Rectangle 13"/>
            <xdr:cNvSpPr/>
          </xdr:nvSpPr>
          <xdr:spPr>
            <a:xfrm>
              <a:off x="17835562" y="7000875"/>
              <a:ext cx="4405311" cy="2797970"/>
            </a:xfrm>
            <a:prstGeom prst="rect">
              <a:avLst/>
            </a:prstGeom>
            <a:solidFill>
              <a:schemeClr val="accent6">
                <a:lumMod val="60000"/>
                <a:lumOff val="40000"/>
              </a:schemeClr>
            </a:solidFill>
            <a:ln>
              <a:solidFill>
                <a:schemeClr val="accent6">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ysClr val="windowText" lastClr="000000"/>
                  </a:solidFill>
                  <a:latin typeface="Times New Roman" panose="02020603050405020304" pitchFamily="18" charset="0"/>
                  <a:cs typeface="Times New Roman" panose="02020603050405020304" pitchFamily="18" charset="0"/>
                </a:rPr>
                <a:t>INSIGHTS:</a:t>
              </a:r>
            </a:p>
            <a:p>
              <a:pPr marL="285750" indent="-285750" algn="l">
                <a:buFont typeface="Arial" panose="020B0604020202020204" pitchFamily="34" charset="0"/>
                <a:buChar char="•"/>
              </a:pPr>
              <a:r>
                <a:rPr lang="en-US" sz="1300" b="0">
                  <a:solidFill>
                    <a:sysClr val="windowText" lastClr="000000"/>
                  </a:solidFill>
                  <a:latin typeface="Times New Roman" panose="02020603050405020304" pitchFamily="18" charset="0"/>
                  <a:cs typeface="Times New Roman" panose="02020603050405020304" pitchFamily="18" charset="0"/>
                </a:rPr>
                <a:t>Sales dropped after February.</a:t>
              </a:r>
            </a:p>
            <a:p>
              <a:pPr marL="285750" indent="-285750" algn="l">
                <a:buFont typeface="Arial" panose="020B0604020202020204" pitchFamily="34" charset="0"/>
                <a:buChar char="•"/>
              </a:pPr>
              <a:r>
                <a:rPr lang="en-US" sz="1300" b="0">
                  <a:solidFill>
                    <a:sysClr val="windowText" lastClr="000000"/>
                  </a:solidFill>
                  <a:latin typeface="Times New Roman" panose="02020603050405020304" pitchFamily="18" charset="0"/>
                  <a:cs typeface="Times New Roman" panose="02020603050405020304" pitchFamily="18" charset="0"/>
                </a:rPr>
                <a:t>Phones and Laptops generated the highest revenue.</a:t>
              </a:r>
            </a:p>
            <a:p>
              <a:pPr marL="285750" indent="-285750" algn="l">
                <a:buFont typeface="Arial" panose="020B0604020202020204" pitchFamily="34" charset="0"/>
                <a:buChar char="•"/>
              </a:pPr>
              <a:r>
                <a:rPr lang="en-US" sz="1300" b="1">
                  <a:solidFill>
                    <a:sysClr val="windowText" lastClr="000000"/>
                  </a:solidFill>
                  <a:latin typeface="Times New Roman" panose="02020603050405020304" pitchFamily="18" charset="0"/>
                  <a:cs typeface="Times New Roman" panose="02020603050405020304" pitchFamily="18" charset="0"/>
                </a:rPr>
                <a:t>Mouse</a:t>
              </a:r>
              <a:r>
                <a:rPr lang="en-US" sz="1300" b="0">
                  <a:solidFill>
                    <a:sysClr val="windowText" lastClr="000000"/>
                  </a:solidFill>
                  <a:latin typeface="Times New Roman" panose="02020603050405020304" pitchFamily="18" charset="0"/>
                  <a:cs typeface="Times New Roman" panose="02020603050405020304" pitchFamily="18" charset="0"/>
                </a:rPr>
                <a:t> recorded</a:t>
              </a:r>
              <a:r>
                <a:rPr lang="en-US" sz="1300" b="0" baseline="0">
                  <a:solidFill>
                    <a:sysClr val="windowText" lastClr="000000"/>
                  </a:solidFill>
                  <a:latin typeface="Times New Roman" panose="02020603050405020304" pitchFamily="18" charset="0"/>
                  <a:cs typeface="Times New Roman" panose="02020603050405020304" pitchFamily="18" charset="0"/>
                </a:rPr>
                <a:t> the highest quantity sold.</a:t>
              </a:r>
            </a:p>
            <a:p>
              <a:pPr marL="285750" indent="-285750" algn="l">
                <a:buFont typeface="Arial" panose="020B0604020202020204" pitchFamily="34" charset="0"/>
                <a:buChar char="•"/>
              </a:pPr>
              <a:r>
                <a:rPr lang="en-US" sz="1300" b="0" baseline="0">
                  <a:solidFill>
                    <a:sysClr val="windowText" lastClr="000000"/>
                  </a:solidFill>
                  <a:latin typeface="Times New Roman" panose="02020603050405020304" pitchFamily="18" charset="0"/>
                  <a:cs typeface="Times New Roman" panose="02020603050405020304" pitchFamily="18" charset="0"/>
                </a:rPr>
                <a:t>VIP customers contributed the largest share of total revenue</a:t>
              </a:r>
              <a:r>
                <a:rPr lang="en-US" sz="1400" b="0" baseline="0">
                  <a:solidFill>
                    <a:sysClr val="windowText" lastClr="000000"/>
                  </a:solidFill>
                  <a:latin typeface="Times New Roman" panose="02020603050405020304" pitchFamily="18" charset="0"/>
                  <a:cs typeface="Times New Roman" panose="02020603050405020304" pitchFamily="18" charset="0"/>
                </a:rPr>
                <a:t>.</a:t>
              </a:r>
            </a:p>
            <a:p>
              <a:pPr marL="285750" indent="-285750" algn="l">
                <a:buFont typeface="Arial" panose="020B0604020202020204" pitchFamily="34" charset="0"/>
                <a:buChar char="•"/>
              </a:pPr>
              <a:endParaRPr lang="en-US" sz="1400" b="0" baseline="0">
                <a:solidFill>
                  <a:sysClr val="windowText" lastClr="000000"/>
                </a:solidFill>
                <a:latin typeface="Times New Roman" panose="02020603050405020304" pitchFamily="18" charset="0"/>
                <a:cs typeface="Times New Roman" panose="02020603050405020304" pitchFamily="18" charset="0"/>
              </a:endParaRPr>
            </a:p>
            <a:p>
              <a:pPr marL="0" indent="0" algn="l">
                <a:buFontTx/>
                <a:buNone/>
              </a:pPr>
              <a:r>
                <a:rPr lang="en-US" sz="1400" b="1" baseline="0">
                  <a:solidFill>
                    <a:sysClr val="windowText" lastClr="000000"/>
                  </a:solidFill>
                  <a:latin typeface="Times New Roman" panose="02020603050405020304" pitchFamily="18" charset="0"/>
                  <a:cs typeface="Times New Roman" panose="02020603050405020304" pitchFamily="18" charset="0"/>
                </a:rPr>
                <a:t>RECOMMENDATIONS:</a:t>
              </a:r>
            </a:p>
            <a:p>
              <a:pPr marL="285750" indent="-285750" algn="l">
                <a:buFont typeface="Arial" panose="020B0604020202020204" pitchFamily="34" charset="0"/>
                <a:buChar char="•"/>
              </a:pPr>
              <a:r>
                <a:rPr lang="en-US" sz="1300" b="0" baseline="0">
                  <a:solidFill>
                    <a:sysClr val="windowText" lastClr="000000"/>
                  </a:solidFill>
                  <a:latin typeface="Times New Roman" panose="02020603050405020304" pitchFamily="18" charset="0"/>
                  <a:cs typeface="Times New Roman" panose="02020603050405020304" pitchFamily="18" charset="0"/>
                </a:rPr>
                <a:t>Focus marketing efforts on </a:t>
              </a:r>
              <a:r>
                <a:rPr lang="en-US" sz="1300" b="1" baseline="0">
                  <a:solidFill>
                    <a:sysClr val="windowText" lastClr="000000"/>
                  </a:solidFill>
                  <a:latin typeface="Times New Roman" panose="02020603050405020304" pitchFamily="18" charset="0"/>
                  <a:cs typeface="Times New Roman" panose="02020603050405020304" pitchFamily="18" charset="0"/>
                </a:rPr>
                <a:t>VIP</a:t>
              </a:r>
              <a:r>
                <a:rPr lang="en-US" sz="1300" b="0" baseline="0">
                  <a:solidFill>
                    <a:sysClr val="windowText" lastClr="000000"/>
                  </a:solidFill>
                  <a:latin typeface="Times New Roman" panose="02020603050405020304" pitchFamily="18" charset="0"/>
                  <a:cs typeface="Times New Roman" panose="02020603050405020304" pitchFamily="18" charset="0"/>
                </a:rPr>
                <a:t> customers.</a:t>
              </a:r>
            </a:p>
            <a:p>
              <a:pPr marL="285750" indent="-285750" algn="l">
                <a:buFont typeface="Arial" panose="020B0604020202020204" pitchFamily="34" charset="0"/>
                <a:buChar char="•"/>
              </a:pPr>
              <a:r>
                <a:rPr lang="en-US" sz="1300" b="0" baseline="0">
                  <a:solidFill>
                    <a:sysClr val="windowText" lastClr="000000"/>
                  </a:solidFill>
                  <a:latin typeface="Times New Roman" panose="02020603050405020304" pitchFamily="18" charset="0"/>
                  <a:cs typeface="Times New Roman" panose="02020603050405020304" pitchFamily="18" charset="0"/>
                </a:rPr>
                <a:t>Promote high-performing products like </a:t>
              </a:r>
              <a:r>
                <a:rPr lang="en-US" sz="1300" b="1" baseline="0">
                  <a:solidFill>
                    <a:sysClr val="windowText" lastClr="000000"/>
                  </a:solidFill>
                  <a:latin typeface="Times New Roman" panose="02020603050405020304" pitchFamily="18" charset="0"/>
                  <a:cs typeface="Times New Roman" panose="02020603050405020304" pitchFamily="18" charset="0"/>
                </a:rPr>
                <a:t>Phones</a:t>
              </a:r>
              <a:r>
                <a:rPr lang="en-US" sz="1300" b="0" baseline="0">
                  <a:solidFill>
                    <a:sysClr val="windowText" lastClr="000000"/>
                  </a:solidFill>
                  <a:latin typeface="Times New Roman" panose="02020603050405020304" pitchFamily="18" charset="0"/>
                  <a:cs typeface="Times New Roman" panose="02020603050405020304" pitchFamily="18" charset="0"/>
                </a:rPr>
                <a:t> and </a:t>
              </a:r>
              <a:r>
                <a:rPr lang="en-US" sz="1300" b="1" baseline="0">
                  <a:solidFill>
                    <a:sysClr val="windowText" lastClr="000000"/>
                  </a:solidFill>
                  <a:latin typeface="Times New Roman" panose="02020603050405020304" pitchFamily="18" charset="0"/>
                  <a:cs typeface="Times New Roman" panose="02020603050405020304" pitchFamily="18" charset="0"/>
                </a:rPr>
                <a:t>Laptops</a:t>
              </a:r>
              <a:r>
                <a:rPr lang="en-US" sz="1300" b="0" baseline="0">
                  <a:solidFill>
                    <a:sysClr val="windowText" lastClr="000000"/>
                  </a:solidFill>
                  <a:latin typeface="Times New Roman" panose="02020603050405020304" pitchFamily="18" charset="0"/>
                  <a:cs typeface="Times New Roman" panose="02020603050405020304" pitchFamily="18" charset="0"/>
                </a:rPr>
                <a:t>.</a:t>
              </a:r>
            </a:p>
            <a:p>
              <a:pPr marL="285750" indent="-285750" algn="l">
                <a:buFont typeface="Arial" panose="020B0604020202020204" pitchFamily="34" charset="0"/>
                <a:buChar char="•"/>
              </a:pPr>
              <a:r>
                <a:rPr lang="en-US" sz="1300" b="0" baseline="0">
                  <a:solidFill>
                    <a:sysClr val="windowText" lastClr="000000"/>
                  </a:solidFill>
                  <a:latin typeface="Times New Roman" panose="02020603050405020304" pitchFamily="18" charset="0"/>
                  <a:cs typeface="Times New Roman" panose="02020603050405020304" pitchFamily="18" charset="0"/>
                </a:rPr>
                <a:t>Improve retention strategies for </a:t>
              </a:r>
              <a:r>
                <a:rPr lang="en-US" sz="1300" b="1" baseline="0">
                  <a:solidFill>
                    <a:sysClr val="windowText" lastClr="000000"/>
                  </a:solidFill>
                  <a:latin typeface="Times New Roman" panose="02020603050405020304" pitchFamily="18" charset="0"/>
                  <a:cs typeface="Times New Roman" panose="02020603050405020304" pitchFamily="18" charset="0"/>
                </a:rPr>
                <a:t>At Risk</a:t>
              </a:r>
              <a:r>
                <a:rPr lang="en-US" sz="1300" b="0" baseline="0">
                  <a:solidFill>
                    <a:sysClr val="windowText" lastClr="000000"/>
                  </a:solidFill>
                  <a:latin typeface="Times New Roman" panose="02020603050405020304" pitchFamily="18" charset="0"/>
                  <a:cs typeface="Times New Roman" panose="02020603050405020304" pitchFamily="18" charset="0"/>
                </a:rPr>
                <a:t> customers.</a:t>
              </a:r>
            </a:p>
          </xdr:txBody>
        </xdr:sp>
      </xdr:grpSp>
      <mc:AlternateContent xmlns:mc="http://schemas.openxmlformats.org/markup-compatibility/2006" xmlns:a14="http://schemas.microsoft.com/office/drawing/2010/main">
        <mc:Choice Requires="a14">
          <xdr:graphicFrame macro="">
            <xdr:nvGraphicFramePr>
              <xdr:cNvPr id="48" name=" "/>
              <xdr:cNvGraphicFramePr/>
            </xdr:nvGraphicFramePr>
            <xdr:xfrm>
              <a:off x="16090063" y="2437380"/>
              <a:ext cx="3505730" cy="1371600"/>
            </xdr:xfrm>
            <a:graphic>
              <a:graphicData uri="http://schemas.microsoft.com/office/drawing/2010/slicer">
                <sle:slicer xmlns:sle="http://schemas.microsoft.com/office/drawing/2010/slicer" name=" "/>
              </a:graphicData>
            </a:graphic>
          </xdr:graphicFrame>
        </mc:Choice>
        <mc:Fallback xmlns="">
          <xdr:sp macro="" textlink="">
            <xdr:nvSpPr>
              <xdr:cNvPr id="0" name=""/>
              <xdr:cNvSpPr>
                <a:spLocks noTextEdit="1"/>
              </xdr:cNvSpPr>
            </xdr:nvSpPr>
            <xdr:spPr>
              <a:xfrm>
                <a:off x="15972677" y="1707130"/>
                <a:ext cx="3514955"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49" name="Date"/>
              <xdr:cNvGraphicFramePr/>
            </xdr:nvGraphicFramePr>
            <xdr:xfrm>
              <a:off x="11746177" y="2440781"/>
              <a:ext cx="4139285" cy="1357311"/>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617360" y="1710531"/>
                <a:ext cx="4150178" cy="1357311"/>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50" name="     "/>
              <xdr:cNvGraphicFramePr/>
            </xdr:nvGraphicFramePr>
            <xdr:xfrm>
              <a:off x="19780250" y="2434167"/>
              <a:ext cx="2697908" cy="1365250"/>
            </xdr:xfrm>
            <a:graphic>
              <a:graphicData uri="http://schemas.microsoft.com/office/drawing/2010/slicer">
                <sle:slicer xmlns:sle="http://schemas.microsoft.com/office/drawing/2010/slicer" name="     "/>
              </a:graphicData>
            </a:graphic>
          </xdr:graphicFrame>
        </mc:Choice>
        <mc:Fallback xmlns="">
          <xdr:sp macro="" textlink="">
            <xdr:nvSpPr>
              <xdr:cNvPr id="0" name=""/>
              <xdr:cNvSpPr>
                <a:spLocks noTextEdit="1"/>
              </xdr:cNvSpPr>
            </xdr:nvSpPr>
            <xdr:spPr>
              <a:xfrm>
                <a:off x="19672575" y="1703917"/>
                <a:ext cx="2705008" cy="1365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p Pc" refreshedDate="46144.52529409722" createdVersion="6" refreshedVersion="6" minRefreshableVersion="3" recordCount="8">
  <cacheSource type="worksheet">
    <worksheetSource ref="F33:L41" sheet="Analysis"/>
  </cacheSource>
  <cacheFields count="7">
    <cacheField name="Customer_Id" numFmtId="0">
      <sharedItems/>
    </cacheField>
    <cacheField name="Txn_Count" numFmtId="0">
      <sharedItems containsSemiMixedTypes="0" containsString="0" containsNumber="1" containsInteger="1" minValue="1" maxValue="4"/>
    </cacheField>
    <cacheField name="Total_Sales" numFmtId="165">
      <sharedItems containsSemiMixedTypes="0" containsString="0" containsNumber="1" containsInteger="1" minValue="40000" maxValue="896000"/>
    </cacheField>
    <cacheField name="Frequency Score" numFmtId="0">
      <sharedItems/>
    </cacheField>
    <cacheField name="Monetary Score" numFmtId="0">
      <sharedItems/>
    </cacheField>
    <cacheField name="Combo" numFmtId="0">
      <sharedItems/>
    </cacheField>
    <cacheField name="Customer Segment" numFmtId="0">
      <sharedItems count="5">
        <s v="VIP"/>
        <s v="Regular"/>
        <s v="High Value"/>
        <s v="Low Value"/>
        <s v="At Risk"/>
      </sharedItems>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Hp Pc" refreshedDate="46144.52529513889" createdVersion="6" refreshedVersion="6" minRefreshableVersion="3" recordCount="20">
  <cacheSource type="worksheet">
    <worksheetSource name="sales_dataset"/>
  </cacheSource>
  <cacheFields count="11">
    <cacheField name="Txn_No" numFmtId="0">
      <sharedItems count="20">
        <s v="TXN001"/>
        <s v="TXN002"/>
        <s v="TXN003"/>
        <s v="TXN004"/>
        <s v="TXN005"/>
        <s v="TXN006"/>
        <s v="TXN007"/>
        <s v="TXN008"/>
        <s v="TXN009"/>
        <s v="TXN010"/>
        <s v="TXN011"/>
        <s v="TXN012"/>
        <s v="TXN013"/>
        <s v="TXN014"/>
        <s v="TXN015"/>
        <s v="TXN016"/>
        <s v="TXN017"/>
        <s v="TXN018"/>
        <s v="TXN019"/>
        <s v="TXN020"/>
      </sharedItems>
    </cacheField>
    <cacheField name="Date" numFmtId="14">
      <sharedItems containsSemiMixedTypes="0" containsNonDate="0" containsDate="1" containsString="0" minDate="2025-01-02T00:00:00" maxDate="2025-04-06T00:00:00" count="19">
        <d v="2025-01-02T00:00:00"/>
        <d v="2025-01-03T00:00:00"/>
        <d v="2025-01-05T00:00:00"/>
        <d v="2025-01-06T00:00:00"/>
        <d v="2025-01-10T00:00:00"/>
        <d v="2025-02-02T00:00:00"/>
        <d v="2025-02-04T00:00:00"/>
        <d v="2025-02-06T00:00:00"/>
        <d v="2025-02-10T00:00:00"/>
        <d v="2025-02-12T00:00:00"/>
        <d v="2025-03-01T00:00:00"/>
        <d v="2025-03-03T00:00:00"/>
        <d v="2025-03-05T00:00:00"/>
        <d v="2025-03-08T00:00:00"/>
        <d v="2025-03-10T00:00:00"/>
        <d v="2025-03-12T00:00:00"/>
        <d v="2025-04-01T00:00:00"/>
        <d v="2025-04-03T00:00:00"/>
        <d v="2025-04-05T00:00:00"/>
      </sharedItems>
    </cacheField>
    <cacheField name="Month" numFmtId="0">
      <sharedItems count="4">
        <s v="Jan"/>
        <s v="Feb"/>
        <s v="Mar"/>
        <s v="Apr"/>
      </sharedItems>
    </cacheField>
    <cacheField name="Customer_Id" numFmtId="2">
      <sharedItems count="8">
        <s v="C001"/>
        <s v="C002"/>
        <s v="C003"/>
        <s v="C004"/>
        <s v="C005"/>
        <s v="C006"/>
        <s v="C007"/>
        <s v="C008"/>
      </sharedItems>
    </cacheField>
    <cacheField name="Txn_Count" numFmtId="1">
      <sharedItems containsSemiMixedTypes="0" containsString="0" containsNumber="1" containsInteger="1" minValue="1" maxValue="4"/>
    </cacheField>
    <cacheField name="Product_Name" numFmtId="0">
      <sharedItems count="6">
        <s v="Laptop"/>
        <s v="Phone"/>
        <s v="Headphones"/>
        <s v="Mouse"/>
        <s v="Keyboard"/>
        <s v="Monitor"/>
      </sharedItems>
    </cacheField>
    <cacheField name="Price" numFmtId="164">
      <sharedItems containsSemiMixedTypes="0" containsString="0" containsNumber="1" containsInteger="1" minValue="8000" maxValue="350000"/>
    </cacheField>
    <cacheField name="Quantity" numFmtId="0">
      <sharedItems containsSemiMixedTypes="0" containsString="0" containsNumber="1" containsInteger="1" minValue="1" maxValue="5"/>
    </cacheField>
    <cacheField name="Total_Sales" numFmtId="164">
      <sharedItems containsSemiMixedTypes="0" containsString="0" containsNumber="1" containsInteger="1" minValue="16000" maxValue="360000"/>
    </cacheField>
    <cacheField name="Country" numFmtId="0">
      <sharedItems/>
    </cacheField>
    <cacheField name="Customer_Segment" numFmtId="0">
      <sharedItems count="5">
        <s v="VIP"/>
        <s v="Regular"/>
        <s v="High Value"/>
        <s v="Low Value"/>
        <s v="At Risk"/>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saveData="0" refreshedBy="Hp Pc" refreshedDate="46144.525293402781" backgroundQuery="1" createdVersion="6" refreshedVersion="6" minRefreshableVersion="3" recordCount="0" supportSubquery="1" supportAdvancedDrill="1">
  <cacheSource type="external" connectionId="2"/>
  <cacheFields count="4">
    <cacheField name="[Measures].[Revenue]" caption="Revenue" numFmtId="0" hierarchy="15" level="32767"/>
    <cacheField name="[Measures].[Quantity Sold]" caption="Quantity Sold" numFmtId="0" hierarchy="16" level="32767"/>
    <cacheField name="[Measures].[Customers No]" caption="Customers No" numFmtId="0" hierarchy="17" level="32767"/>
    <cacheField name="[Measures].[Average Order Value]" caption="Average Order Value" numFmtId="0" hierarchy="18" level="32767"/>
  </cacheFields>
  <cacheHierarchies count="24">
    <cacheHierarchy uniqueName="[sales_dataset].[Txn No]" caption="Txn No" attribute="1" defaultMemberUniqueName="[sales_dataset].[Txn No].[All]" allUniqueName="[sales_dataset].[Txn No].[All]" dimensionUniqueName="[sales_dataset]" displayFolder="" count="0" memberValueDatatype="130" unbalanced="0"/>
    <cacheHierarchy uniqueName="[sales_dataset].[Date]" caption="Date" attribute="1" time="1" defaultMemberUniqueName="[sales_dataset].[Date].[All]" allUniqueName="[sales_dataset].[Date].[All]" dimensionUniqueName="[sales_dataset]" displayFolder="" count="0" memberValueDatatype="7" unbalanced="0"/>
    <cacheHierarchy uniqueName="[sales_dataset].[Month]" caption="Month" attribute="1" defaultMemberUniqueName="[sales_dataset].[Month].[All]" allUniqueName="[sales_dataset].[Month].[All]" dimensionUniqueName="[sales_dataset]" displayFolder="" count="0" memberValueDatatype="130" unbalanced="0"/>
    <cacheHierarchy uniqueName="[sales_dataset].[Customer Id]" caption="Customer Id" attribute="1" defaultMemberUniqueName="[sales_dataset].[Customer Id].[All]" allUniqueName="[sales_dataset].[Customer Id].[All]" dimensionUniqueName="[sales_dataset]" displayFolder="" count="0" memberValueDatatype="130" unbalanced="0"/>
    <cacheHierarchy uniqueName="[sales_dataset].[Total Sales]" caption="Total Sales" attribute="1" defaultMemberUniqueName="[sales_dataset].[Total Sales].[All]" allUniqueName="[sales_dataset].[Total Sales].[All]" dimensionUniqueName="[sales_dataset]" displayFolder="" count="0" memberValueDatatype="20" unbalanced="0"/>
    <cacheHierarchy uniqueName="[sales_dataset].[Product Id]" caption="Product Id" attribute="1" defaultMemberUniqueName="[sales_dataset].[Product Id].[All]" allUniqueName="[sales_dataset].[Product Id].[All]" dimensionUniqueName="[sales_dataset]" displayFolder="" count="0" memberValueDatatype="130" unbalanced="0"/>
    <cacheHierarchy uniqueName="[sales_dataset].[Price]" caption="Price" attribute="1" defaultMemberUniqueName="[sales_dataset].[Price].[All]" allUniqueName="[sales_dataset].[Price].[All]" dimensionUniqueName="[sales_dataset]" displayFolder="" count="0" memberValueDatatype="20" unbalanced="0"/>
    <cacheHierarchy uniqueName="[sales_dataset].[Quantity]" caption="Quantity" attribute="1" defaultMemberUniqueName="[sales_dataset].[Quantity].[All]" allUniqueName="[sales_dataset].[Quantity].[All]" dimensionUniqueName="[sales_dataset]" displayFolder="" count="0" memberValueDatatype="20" unbalanced="0"/>
    <cacheHierarchy uniqueName="[sales_dataset].[Total_Sales]" caption="Total_Sales" attribute="1" defaultMemberUniqueName="[sales_dataset].[Total_Sales].[All]" allUniqueName="[sales_dataset].[Total_Sales].[All]" dimensionUniqueName="[sales_dataset]" displayFolder="" count="0" memberValueDatatype="20" unbalanced="0"/>
    <cacheHierarchy uniqueName="[sales_dataset].[Country]" caption="Country" attribute="1" defaultMemberUniqueName="[sales_dataset].[Country].[All]" allUniqueName="[sales_dataset].[Country].[All]" dimensionUniqueName="[sales_dataset]" displayFolder="" count="0" memberValueDatatype="130" unbalanced="0"/>
    <cacheHierarchy uniqueName="[sales_dataset].[Product Name]" caption="Product Name" attribute="1" defaultMemberUniqueName="[sales_dataset].[Product Name].[All]" allUniqueName="[sales_dataset].[Product Name].[All]" dimensionUniqueName="[sales_dataset]" displayFolder="" count="0" memberValueDatatype="130" unbalanced="0"/>
    <cacheHierarchy uniqueName="[Table2].[Frequency Score]" caption="Frequency Score" attribute="1" defaultMemberUniqueName="[Table2].[Frequency Score].[All]" allUniqueName="[Table2].[Frequency Score].[All]" dimensionUniqueName="[Table2]" displayFolder="" count="0" memberValueDatatype="130" unbalanced="0"/>
    <cacheHierarchy uniqueName="[Table2].[Monetary Score]" caption="Monetary Score" attribute="1" defaultMemberUniqueName="[Table2].[Monetary Score].[All]" allUniqueName="[Table2].[Monetary Score].[All]" dimensionUniqueName="[Table2]" displayFolder="" count="0" memberValueDatatype="130" unbalanced="0"/>
    <cacheHierarchy uniqueName="[Table2].[Combo]" caption="Combo" attribute="1" defaultMemberUniqueName="[Table2].[Combo].[All]" allUniqueName="[Table2].[Combo].[All]" dimensionUniqueName="[Table2]" displayFolder="" count="0" memberValueDatatype="130" unbalanced="0"/>
    <cacheHierarchy uniqueName="[Table2].[Customer Segment]" caption="Customer Segment" attribute="1" defaultMemberUniqueName="[Table2].[Customer Segment].[All]" allUniqueName="[Table2].[Customer Segment].[All]" dimensionUniqueName="[Table2]" displayFolder="" count="0" memberValueDatatype="130" unbalanced="0"/>
    <cacheHierarchy uniqueName="[Measures].[Revenue]" caption="Revenue" measure="1" displayFolder="" measureGroup="sales_dataset" count="0" oneField="1">
      <fieldsUsage count="1">
        <fieldUsage x="0"/>
      </fieldsUsage>
    </cacheHierarchy>
    <cacheHierarchy uniqueName="[Measures].[Quantity Sold]" caption="Quantity Sold" measure="1" displayFolder="" measureGroup="sales_dataset" count="0" oneField="1">
      <fieldsUsage count="1">
        <fieldUsage x="1"/>
      </fieldsUsage>
    </cacheHierarchy>
    <cacheHierarchy uniqueName="[Measures].[Customers No]" caption="Customers No" measure="1" displayFolder="" measureGroup="sales_dataset" count="0" oneField="1">
      <fieldsUsage count="1">
        <fieldUsage x="2"/>
      </fieldsUsage>
    </cacheHierarchy>
    <cacheHierarchy uniqueName="[Measures].[Average Order Value]" caption="Average Order Value" measure="1" displayFolder="" measureGroup="sales_dataset" count="0" oneField="1">
      <fieldsUsage count="1">
        <fieldUsage x="3"/>
      </fieldsUsage>
    </cacheHierarchy>
    <cacheHierarchy uniqueName="[Measures].[__XL_Count sales_dataset]" caption="__XL_Count sales_dataset" measure="1" displayFolder="" measureGroup="sales_dataset"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_Sales]" caption="Sum of Total_Sales" measure="1" displayFolder="" measureGroup="sales_dataset" count="0" hidden="1">
      <extLst>
        <ext xmlns:x15="http://schemas.microsoft.com/office/spreadsheetml/2010/11/main" uri="{B97F6D7D-B522-45F9-BDA1-12C45D357490}">
          <x15:cacheHierarchy aggregatedColumn="8"/>
        </ext>
      </extLst>
    </cacheHierarchy>
    <cacheHierarchy uniqueName="[Measures].[Count of Customer_Id]" caption="Count of Customer_Id" measure="1" displayFolder="" measureGroup="sales_dataset" count="0" hidden="1"/>
  </cacheHierarchies>
  <kpis count="0"/>
  <dimensions count="3">
    <dimension measure="1" name="Measures" uniqueName="[Measures]" caption="Measures"/>
    <dimension name="sales_dataset" uniqueName="[sales_dataset]" caption="sales_dataset"/>
    <dimension name="Table2" uniqueName="[Table2]" caption="Table2"/>
  </dimensions>
  <measureGroups count="2">
    <measureGroup name="sales_dataset" caption="sales_dataset"/>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8">
  <r>
    <s v="C001"/>
    <n v="4"/>
    <n v="896000"/>
    <s v="High"/>
    <s v="High"/>
    <s v="High-High"/>
    <x v="0"/>
  </r>
  <r>
    <s v="C002"/>
    <n v="4"/>
    <n v="850000"/>
    <s v="High"/>
    <s v="High"/>
    <s v="High-High"/>
    <x v="0"/>
  </r>
  <r>
    <s v="C003"/>
    <n v="4"/>
    <n v="637000"/>
    <s v="High"/>
    <s v="High"/>
    <s v="High-High"/>
    <x v="0"/>
  </r>
  <r>
    <s v="C004"/>
    <n v="2"/>
    <n v="300000"/>
    <s v="Medium"/>
    <s v="Medium"/>
    <s v="Medium-Medium"/>
    <x v="1"/>
  </r>
  <r>
    <s v="C005"/>
    <n v="2"/>
    <n v="395000"/>
    <s v="Medium"/>
    <s v="High"/>
    <s v="Medium-High"/>
    <x v="2"/>
  </r>
  <r>
    <s v="C006"/>
    <n v="2"/>
    <n v="290000"/>
    <s v="Medium"/>
    <s v="Medium"/>
    <s v="Medium-Medium"/>
    <x v="1"/>
  </r>
  <r>
    <s v="C007"/>
    <n v="1"/>
    <n v="40000"/>
    <s v="Low"/>
    <s v="Low"/>
    <s v="Low-Low"/>
    <x v="3"/>
  </r>
  <r>
    <s v="C008"/>
    <n v="1"/>
    <n v="180000"/>
    <s v="Low"/>
    <s v="Medium"/>
    <s v="Low-Medium"/>
    <x v="4"/>
  </r>
</pivotCacheRecords>
</file>

<file path=xl/pivotCache/pivotCacheRecords2.xml><?xml version="1.0" encoding="utf-8"?>
<pivotCacheRecords xmlns="http://schemas.openxmlformats.org/spreadsheetml/2006/main" xmlns:r="http://schemas.openxmlformats.org/officeDocument/2006/relationships" count="20">
  <r>
    <x v="0"/>
    <x v="0"/>
    <x v="0"/>
    <x v="0"/>
    <n v="4"/>
    <x v="0"/>
    <n v="350000"/>
    <n v="1"/>
    <n v="350000"/>
    <s v="Nigeria"/>
    <x v="0"/>
  </r>
  <r>
    <x v="1"/>
    <x v="0"/>
    <x v="0"/>
    <x v="1"/>
    <n v="4"/>
    <x v="1"/>
    <n v="180000"/>
    <n v="2"/>
    <n v="360000"/>
    <s v="Nigeria"/>
    <x v="0"/>
  </r>
  <r>
    <x v="2"/>
    <x v="1"/>
    <x v="0"/>
    <x v="2"/>
    <n v="4"/>
    <x v="2"/>
    <n v="25000"/>
    <n v="3"/>
    <n v="75000"/>
    <s v="Nigeria"/>
    <x v="0"/>
  </r>
  <r>
    <x v="3"/>
    <x v="2"/>
    <x v="0"/>
    <x v="0"/>
    <n v="4"/>
    <x v="3"/>
    <n v="8000"/>
    <n v="2"/>
    <n v="16000"/>
    <s v="Nigeria"/>
    <x v="0"/>
  </r>
  <r>
    <x v="4"/>
    <x v="3"/>
    <x v="0"/>
    <x v="3"/>
    <n v="2"/>
    <x v="1"/>
    <n v="180000"/>
    <n v="1"/>
    <n v="180000"/>
    <s v="Nigeria"/>
    <x v="1"/>
  </r>
  <r>
    <x v="5"/>
    <x v="4"/>
    <x v="0"/>
    <x v="1"/>
    <n v="4"/>
    <x v="4"/>
    <n v="15000"/>
    <n v="2"/>
    <n v="30000"/>
    <s v="Nigeria"/>
    <x v="0"/>
  </r>
  <r>
    <x v="6"/>
    <x v="5"/>
    <x v="1"/>
    <x v="4"/>
    <n v="2"/>
    <x v="0"/>
    <n v="350000"/>
    <n v="1"/>
    <n v="350000"/>
    <s v="Nigeria"/>
    <x v="2"/>
  </r>
  <r>
    <x v="7"/>
    <x v="6"/>
    <x v="1"/>
    <x v="2"/>
    <n v="4"/>
    <x v="1"/>
    <n v="180000"/>
    <n v="1"/>
    <n v="180000"/>
    <s v="Nigeria"/>
    <x v="0"/>
  </r>
  <r>
    <x v="8"/>
    <x v="7"/>
    <x v="1"/>
    <x v="5"/>
    <n v="2"/>
    <x v="5"/>
    <n v="120000"/>
    <n v="2"/>
    <n v="240000"/>
    <s v="Nigeria"/>
    <x v="1"/>
  </r>
  <r>
    <x v="9"/>
    <x v="8"/>
    <x v="1"/>
    <x v="1"/>
    <n v="4"/>
    <x v="2"/>
    <n v="25000"/>
    <n v="4"/>
    <n v="100000"/>
    <s v="Nigeria"/>
    <x v="0"/>
  </r>
  <r>
    <x v="10"/>
    <x v="9"/>
    <x v="1"/>
    <x v="0"/>
    <n v="4"/>
    <x v="1"/>
    <n v="180000"/>
    <n v="1"/>
    <n v="180000"/>
    <s v="Nigeria"/>
    <x v="0"/>
  </r>
  <r>
    <x v="11"/>
    <x v="10"/>
    <x v="2"/>
    <x v="6"/>
    <n v="1"/>
    <x v="3"/>
    <n v="8000"/>
    <n v="5"/>
    <n v="40000"/>
    <s v="Nigeria"/>
    <x v="3"/>
  </r>
  <r>
    <x v="12"/>
    <x v="11"/>
    <x v="2"/>
    <x v="2"/>
    <n v="4"/>
    <x v="0"/>
    <n v="350000"/>
    <n v="1"/>
    <n v="350000"/>
    <s v="Nigeria"/>
    <x v="0"/>
  </r>
  <r>
    <x v="13"/>
    <x v="12"/>
    <x v="2"/>
    <x v="3"/>
    <n v="2"/>
    <x v="5"/>
    <n v="120000"/>
    <n v="1"/>
    <n v="120000"/>
    <s v="Nigeria"/>
    <x v="1"/>
  </r>
  <r>
    <x v="14"/>
    <x v="13"/>
    <x v="2"/>
    <x v="1"/>
    <n v="4"/>
    <x v="1"/>
    <n v="180000"/>
    <n v="2"/>
    <n v="360000"/>
    <s v="Nigeria"/>
    <x v="0"/>
  </r>
  <r>
    <x v="15"/>
    <x v="14"/>
    <x v="2"/>
    <x v="4"/>
    <n v="2"/>
    <x v="4"/>
    <n v="15000"/>
    <n v="3"/>
    <n v="45000"/>
    <s v="Nigeria"/>
    <x v="2"/>
  </r>
  <r>
    <x v="16"/>
    <x v="15"/>
    <x v="2"/>
    <x v="5"/>
    <n v="2"/>
    <x v="2"/>
    <n v="25000"/>
    <n v="2"/>
    <n v="50000"/>
    <s v="Nigeria"/>
    <x v="1"/>
  </r>
  <r>
    <x v="17"/>
    <x v="16"/>
    <x v="3"/>
    <x v="0"/>
    <n v="4"/>
    <x v="0"/>
    <n v="350000"/>
    <n v="1"/>
    <n v="350000"/>
    <s v="Nigeria"/>
    <x v="0"/>
  </r>
  <r>
    <x v="18"/>
    <x v="17"/>
    <x v="3"/>
    <x v="7"/>
    <n v="1"/>
    <x v="1"/>
    <n v="180000"/>
    <n v="1"/>
    <n v="180000"/>
    <s v="Nigeria"/>
    <x v="4"/>
  </r>
  <r>
    <x v="19"/>
    <x v="18"/>
    <x v="3"/>
    <x v="2"/>
    <n v="4"/>
    <x v="3"/>
    <n v="8000"/>
    <n v="4"/>
    <n v="32000"/>
    <s v="Nigeria"/>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location ref="A33:C41" firstHeaderRow="0" firstDataRow="1" firstDataCol="1"/>
  <pivotFields count="11">
    <pivotField dataField="1" compact="0" outline="0" showAll="0"/>
    <pivotField compact="0" numFmtId="14" outline="0" showAll="0">
      <items count="20">
        <item x="0"/>
        <item x="1"/>
        <item x="2"/>
        <item x="3"/>
        <item x="4"/>
        <item x="5"/>
        <item x="6"/>
        <item x="7"/>
        <item x="8"/>
        <item x="9"/>
        <item x="10"/>
        <item x="11"/>
        <item x="12"/>
        <item x="13"/>
        <item x="14"/>
        <item x="15"/>
        <item x="16"/>
        <item x="17"/>
        <item x="18"/>
        <item t="default"/>
      </items>
    </pivotField>
    <pivotField compact="0" outline="0" showAll="0"/>
    <pivotField axis="axisRow" compact="0" outline="0" showAll="0">
      <items count="9">
        <item x="0"/>
        <item x="1"/>
        <item x="2"/>
        <item x="3"/>
        <item x="4"/>
        <item x="5"/>
        <item x="6"/>
        <item x="7"/>
        <item t="default"/>
      </items>
    </pivotField>
    <pivotField compact="0" numFmtId="1" outline="0" showAll="0" defaultSubtotal="0"/>
    <pivotField compact="0" outline="0" showAll="0">
      <items count="7">
        <item x="2"/>
        <item x="4"/>
        <item x="0"/>
        <item x="5"/>
        <item x="3"/>
        <item x="1"/>
        <item t="default"/>
      </items>
    </pivotField>
    <pivotField compact="0" numFmtId="164" outline="0" showAll="0"/>
    <pivotField compact="0" outline="0" showAll="0"/>
    <pivotField dataField="1" compact="0" numFmtId="164" outline="0" showAll="0"/>
    <pivotField compact="0" outline="0" showAll="0"/>
    <pivotField compact="0" outline="0" showAll="0" defaultSubtotal="0">
      <items count="5">
        <item x="4"/>
        <item x="2"/>
        <item x="3"/>
        <item x="1"/>
        <item x="0"/>
      </items>
    </pivotField>
  </pivotFields>
  <rowFields count="1">
    <field x="3"/>
  </rowFields>
  <rowItems count="8">
    <i>
      <x/>
    </i>
    <i>
      <x v="1"/>
    </i>
    <i>
      <x v="2"/>
    </i>
    <i>
      <x v="3"/>
    </i>
    <i>
      <x v="4"/>
    </i>
    <i>
      <x v="5"/>
    </i>
    <i>
      <x v="6"/>
    </i>
    <i>
      <x v="7"/>
    </i>
  </rowItems>
  <colFields count="1">
    <field x="-2"/>
  </colFields>
  <colItems count="2">
    <i>
      <x/>
    </i>
    <i i="1">
      <x v="1"/>
    </i>
  </colItems>
  <dataFields count="2">
    <dataField name="Count of Txn_No" fld="0" subtotal="count" baseField="0" baseItem="0"/>
    <dataField name="Sum of Total_Sales"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9">
  <location ref="I45:J50" firstHeaderRow="1" firstDataRow="1" firstDataCol="1"/>
  <pivotFields count="7">
    <pivotField compact="0" outline="0" showAll="0"/>
    <pivotField compact="0" outline="0" showAll="0"/>
    <pivotField dataField="1" compact="0" numFmtId="165" outline="0" showAll="0"/>
    <pivotField compact="0" outline="0" showAll="0"/>
    <pivotField compact="0" outline="0" showAll="0"/>
    <pivotField compact="0" outline="0" showAll="0"/>
    <pivotField axis="axisRow" compact="0" outline="0" showAll="0" sortType="descending">
      <items count="6">
        <item x="0"/>
        <item x="1"/>
        <item x="3"/>
        <item x="2"/>
        <item x="4"/>
        <item t="default"/>
      </items>
    </pivotField>
  </pivotFields>
  <rowFields count="1">
    <field x="6"/>
  </rowFields>
  <rowItems count="5">
    <i>
      <x/>
    </i>
    <i>
      <x v="1"/>
    </i>
    <i>
      <x v="2"/>
    </i>
    <i>
      <x v="3"/>
    </i>
    <i>
      <x v="4"/>
    </i>
  </rowItems>
  <colItems count="1">
    <i/>
  </colItems>
  <dataFields count="1">
    <dataField name="Sum of Total_Sales" fld="2" baseField="0" baseItem="0" numFmtId="165"/>
  </dataFields>
  <formats count="1">
    <format dxfId="3">
      <pivotArea outline="0" collapsedLevelsAreSubtotals="1" fieldPosition="0"/>
    </format>
  </formats>
  <chartFormats count="2">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2:D3" firstHeaderRow="0" firstDataRow="1" firstDataCol="0"/>
  <pivotFields count="4">
    <pivotField dataField="1" showAll="0"/>
    <pivotField dataField="1" showAll="0"/>
    <pivotField dataField="1" showAll="0"/>
    <pivotField dataField="1" showAll="0"/>
  </pivotFields>
  <rowItems count="1">
    <i/>
  </rowItems>
  <colFields count="1">
    <field x="-2"/>
  </colFields>
  <colItems count="4">
    <i>
      <x/>
    </i>
    <i i="1">
      <x v="1"/>
    </i>
    <i i="2">
      <x v="2"/>
    </i>
    <i i="3">
      <x v="3"/>
    </i>
  </colItems>
  <dataFields count="4">
    <dataField fld="0" subtotal="count" baseField="0" baseItem="0" numFmtId="165"/>
    <dataField fld="1" subtotal="count" baseField="0" baseItem="0"/>
    <dataField fld="2" subtotal="count" baseField="0" baseItem="0"/>
    <dataField fld="3" subtotal="count" baseField="0" baseItem="0" numFmtId="165"/>
  </dataFields>
  <formats count="2">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3"/>
          </reference>
        </references>
      </pivotArea>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set">
        <x15:activeTabTopLevelEntity name="[sales_dataset]"/>
      </x15:pivotTableUISettings>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4">
  <location ref="G8:H28" firstHeaderRow="1" firstDataRow="1" firstDataCol="1"/>
  <pivotFields count="11">
    <pivotField axis="axisRow" compact="0" outline="0" showAll="0">
      <items count="21">
        <item x="0"/>
        <item x="1"/>
        <item x="2"/>
        <item x="3"/>
        <item x="4"/>
        <item x="5"/>
        <item x="6"/>
        <item x="7"/>
        <item x="8"/>
        <item x="9"/>
        <item x="10"/>
        <item x="11"/>
        <item x="12"/>
        <item x="13"/>
        <item x="14"/>
        <item x="15"/>
        <item x="16"/>
        <item x="17"/>
        <item x="18"/>
        <item x="19"/>
        <item t="default"/>
      </items>
    </pivotField>
    <pivotField compact="0" numFmtId="14" outline="0" showAll="0">
      <items count="20">
        <item x="0"/>
        <item x="1"/>
        <item x="2"/>
        <item x="3"/>
        <item x="4"/>
        <item x="5"/>
        <item x="6"/>
        <item x="7"/>
        <item x="8"/>
        <item x="9"/>
        <item x="10"/>
        <item x="11"/>
        <item x="12"/>
        <item x="13"/>
        <item x="14"/>
        <item x="15"/>
        <item x="16"/>
        <item x="17"/>
        <item x="18"/>
        <item t="default"/>
      </items>
    </pivotField>
    <pivotField compact="0" outline="0" showAll="0"/>
    <pivotField compact="0" outline="0" showAll="0"/>
    <pivotField compact="0" numFmtId="1" outline="0" showAll="0" defaultSubtotal="0"/>
    <pivotField compact="0" outline="0" showAll="0">
      <items count="7">
        <item x="2"/>
        <item x="4"/>
        <item x="0"/>
        <item x="5"/>
        <item x="3"/>
        <item x="1"/>
        <item t="default"/>
      </items>
    </pivotField>
    <pivotField compact="0" numFmtId="164" outline="0" showAll="0"/>
    <pivotField dataField="1" compact="0" outline="0" showAll="0"/>
    <pivotField compact="0" numFmtId="164" outline="0" showAll="0"/>
    <pivotField compact="0" outline="0" showAll="0"/>
    <pivotField compact="0" outline="0" showAll="0" defaultSubtotal="0">
      <items count="5">
        <item x="4"/>
        <item x="2"/>
        <item x="3"/>
        <item x="1"/>
        <item x="0"/>
      </items>
    </pivotField>
  </pivotFields>
  <rowFields count="1">
    <field x="0"/>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Average of Quantity"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4">
  <location ref="A19:B27" firstHeaderRow="1" firstDataRow="1" firstDataCol="1"/>
  <pivotFields count="11">
    <pivotField compact="0" outline="0" showAll="0"/>
    <pivotField compact="0" numFmtId="14" outline="0" showAll="0">
      <items count="20">
        <item x="0"/>
        <item x="1"/>
        <item x="2"/>
        <item x="3"/>
        <item x="4"/>
        <item x="5"/>
        <item x="6"/>
        <item x="7"/>
        <item x="8"/>
        <item x="9"/>
        <item x="10"/>
        <item x="11"/>
        <item x="12"/>
        <item x="13"/>
        <item x="14"/>
        <item x="15"/>
        <item x="16"/>
        <item x="17"/>
        <item x="18"/>
        <item t="default"/>
      </items>
    </pivotField>
    <pivotField compact="0" outline="0" showAll="0"/>
    <pivotField axis="axisRow" compact="0" outline="0" showAll="0" sortType="descending">
      <items count="9">
        <item x="7"/>
        <item x="6"/>
        <item x="5"/>
        <item x="4"/>
        <item x="3"/>
        <item x="2"/>
        <item x="1"/>
        <item x="0"/>
        <item t="default"/>
      </items>
    </pivotField>
    <pivotField compact="0" numFmtId="1" outline="0" showAll="0" defaultSubtotal="0"/>
    <pivotField compact="0" outline="0" showAll="0">
      <items count="7">
        <item x="2"/>
        <item x="4"/>
        <item x="0"/>
        <item x="5"/>
        <item x="3"/>
        <item x="1"/>
        <item t="default"/>
      </items>
    </pivotField>
    <pivotField compact="0" numFmtId="164" outline="0" showAll="0"/>
    <pivotField compact="0" outline="0" showAll="0"/>
    <pivotField dataField="1" compact="0" numFmtId="164" outline="0" showAll="0"/>
    <pivotField compact="0" outline="0" showAll="0"/>
    <pivotField compact="0" outline="0" showAll="0" defaultSubtotal="0">
      <items count="5">
        <item x="4"/>
        <item x="2"/>
        <item x="3"/>
        <item x="1"/>
        <item x="0"/>
      </items>
    </pivotField>
  </pivotFields>
  <rowFields count="1">
    <field x="3"/>
  </rowFields>
  <rowItems count="8">
    <i>
      <x/>
    </i>
    <i>
      <x v="1"/>
    </i>
    <i>
      <x v="2"/>
    </i>
    <i>
      <x v="3"/>
    </i>
    <i>
      <x v="4"/>
    </i>
    <i>
      <x v="5"/>
    </i>
    <i>
      <x v="6"/>
    </i>
    <i>
      <x v="7"/>
    </i>
  </rowItems>
  <colItems count="1">
    <i/>
  </colItems>
  <dataFields count="1">
    <dataField name="Sum of Total_Sales" fld="8" baseField="0" baseItem="0" numFmtId="165"/>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2">
  <location ref="J8:K16" firstHeaderRow="1" firstDataRow="1" firstDataCol="1"/>
  <pivotFields count="11">
    <pivotField dataField="1" compact="0" outline="0" showAll="0"/>
    <pivotField compact="0" numFmtId="14" outline="0" showAll="0">
      <items count="20">
        <item x="0"/>
        <item x="1"/>
        <item x="2"/>
        <item x="3"/>
        <item x="4"/>
        <item x="5"/>
        <item x="6"/>
        <item x="7"/>
        <item x="8"/>
        <item x="9"/>
        <item x="10"/>
        <item x="11"/>
        <item x="12"/>
        <item x="13"/>
        <item x="14"/>
        <item x="15"/>
        <item x="16"/>
        <item x="17"/>
        <item x="18"/>
        <item t="default"/>
      </items>
    </pivotField>
    <pivotField compact="0" outline="0" showAll="0"/>
    <pivotField axis="axisRow" compact="0" outline="0" showAll="0">
      <items count="9">
        <item x="0"/>
        <item x="1"/>
        <item x="2"/>
        <item x="3"/>
        <item x="4"/>
        <item x="5"/>
        <item x="6"/>
        <item x="7"/>
        <item t="default"/>
      </items>
    </pivotField>
    <pivotField compact="0" numFmtId="1" outline="0" showAll="0" defaultSubtotal="0"/>
    <pivotField compact="0" outline="0" showAll="0">
      <items count="7">
        <item x="2"/>
        <item x="4"/>
        <item x="0"/>
        <item x="5"/>
        <item x="3"/>
        <item x="1"/>
        <item t="default"/>
      </items>
    </pivotField>
    <pivotField compact="0" numFmtId="164" outline="0" showAll="0"/>
    <pivotField compact="0" outline="0" showAll="0"/>
    <pivotField compact="0" numFmtId="164" outline="0" showAll="0"/>
    <pivotField compact="0" outline="0" showAll="0"/>
    <pivotField compact="0" outline="0" showAll="0" defaultSubtotal="0">
      <items count="5">
        <item x="4"/>
        <item x="2"/>
        <item x="3"/>
        <item x="1"/>
        <item x="0"/>
      </items>
    </pivotField>
  </pivotFields>
  <rowFields count="1">
    <field x="3"/>
  </rowFields>
  <rowItems count="8">
    <i>
      <x/>
    </i>
    <i>
      <x v="1"/>
    </i>
    <i>
      <x v="2"/>
    </i>
    <i>
      <x v="3"/>
    </i>
    <i>
      <x v="4"/>
    </i>
    <i>
      <x v="5"/>
    </i>
    <i>
      <x v="6"/>
    </i>
    <i>
      <x v="7"/>
    </i>
  </rowItems>
  <colItems count="1">
    <i/>
  </colItems>
  <dataFields count="1">
    <dataField name="Count of Txn_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12">
  <location ref="D8:E13" firstHeaderRow="1" firstDataRow="1" firstDataCol="1"/>
  <pivotFields count="11">
    <pivotField compact="0" outline="0" showAll="0"/>
    <pivotField compact="0" numFmtId="14" outline="0" showAll="0">
      <items count="20">
        <item x="0"/>
        <item x="1"/>
        <item x="2"/>
        <item x="3"/>
        <item x="4"/>
        <item x="5"/>
        <item x="6"/>
        <item x="7"/>
        <item x="8"/>
        <item x="9"/>
        <item x="10"/>
        <item x="11"/>
        <item x="12"/>
        <item x="13"/>
        <item x="14"/>
        <item x="15"/>
        <item x="16"/>
        <item x="17"/>
        <item x="18"/>
        <item t="default"/>
      </items>
    </pivotField>
    <pivotField compact="0" outline="0" showAll="0"/>
    <pivotField compact="0" outline="0" showAll="0"/>
    <pivotField compact="0" numFmtId="1" outline="0" showAll="0" defaultSubtotal="0"/>
    <pivotField axis="axisRow" compact="0" outline="0" showAll="0" measureFilter="1">
      <items count="7">
        <item x="2"/>
        <item x="4"/>
        <item x="0"/>
        <item x="5"/>
        <item x="3"/>
        <item x="1"/>
        <item t="default"/>
      </items>
    </pivotField>
    <pivotField compact="0" numFmtId="164" outline="0" showAll="0"/>
    <pivotField compact="0" outline="0" showAll="0"/>
    <pivotField dataField="1" compact="0" numFmtId="164" outline="0" showAll="0"/>
    <pivotField compact="0" outline="0" showAll="0"/>
    <pivotField compact="0" outline="0" showAll="0" defaultSubtotal="0">
      <items count="5">
        <item x="4"/>
        <item x="2"/>
        <item x="3"/>
        <item x="1"/>
        <item x="0"/>
      </items>
    </pivotField>
  </pivotFields>
  <rowFields count="1">
    <field x="5"/>
  </rowFields>
  <rowItems count="5">
    <i>
      <x/>
    </i>
    <i>
      <x v="2"/>
    </i>
    <i>
      <x v="3"/>
    </i>
    <i>
      <x v="4"/>
    </i>
    <i>
      <x v="5"/>
    </i>
  </rowItems>
  <colItems count="1">
    <i/>
  </colItems>
  <dataFields count="1">
    <dataField name="Sum of Total_Sales" fld="8" baseField="0" baseItem="0" numFmtId="165"/>
  </dataFields>
  <formats count="1">
    <format dxfId="6">
      <pivotArea outline="0" collapsedLevelsAreSubtotals="1" fieldPosition="0"/>
    </format>
  </formats>
  <chartFormats count="15">
    <chartFormat chart="4" format="19" series="1">
      <pivotArea type="data" outline="0" fieldPosition="0">
        <references count="1">
          <reference field="4294967294" count="1" selected="0">
            <x v="0"/>
          </reference>
        </references>
      </pivotArea>
    </chartFormat>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5" count="1" selected="0">
            <x v="0"/>
          </reference>
        </references>
      </pivotArea>
    </chartFormat>
    <chartFormat chart="5" format="22">
      <pivotArea type="data" outline="0" fieldPosition="0">
        <references count="2">
          <reference field="4294967294" count="1" selected="0">
            <x v="0"/>
          </reference>
          <reference field="5" count="1" selected="0">
            <x v="2"/>
          </reference>
        </references>
      </pivotArea>
    </chartFormat>
    <chartFormat chart="5" format="23">
      <pivotArea type="data" outline="0" fieldPosition="0">
        <references count="2">
          <reference field="4294967294" count="1" selected="0">
            <x v="0"/>
          </reference>
          <reference field="5" count="1" selected="0">
            <x v="3"/>
          </reference>
        </references>
      </pivotArea>
    </chartFormat>
    <chartFormat chart="5" format="24">
      <pivotArea type="data" outline="0" fieldPosition="0">
        <references count="2">
          <reference field="4294967294" count="1" selected="0">
            <x v="0"/>
          </reference>
          <reference field="5" count="1" selected="0">
            <x v="4"/>
          </reference>
        </references>
      </pivotArea>
    </chartFormat>
    <chartFormat chart="5" format="25">
      <pivotArea type="data" outline="0" fieldPosition="0">
        <references count="2">
          <reference field="4294967294" count="1" selected="0">
            <x v="0"/>
          </reference>
          <reference field="5" count="1" selected="0">
            <x v="5"/>
          </reference>
        </references>
      </pivotArea>
    </chartFormat>
    <chartFormat chart="6" format="26" series="1">
      <pivotArea type="data" outline="0" fieldPosition="0">
        <references count="1">
          <reference field="4294967294" count="1" selected="0">
            <x v="0"/>
          </reference>
        </references>
      </pivotArea>
    </chartFormat>
    <chartFormat chart="6" format="27">
      <pivotArea type="data" outline="0" fieldPosition="0">
        <references count="2">
          <reference field="4294967294" count="1" selected="0">
            <x v="0"/>
          </reference>
          <reference field="5" count="1" selected="0">
            <x v="0"/>
          </reference>
        </references>
      </pivotArea>
    </chartFormat>
    <chartFormat chart="6" format="28">
      <pivotArea type="data" outline="0" fieldPosition="0">
        <references count="2">
          <reference field="4294967294" count="1" selected="0">
            <x v="0"/>
          </reference>
          <reference field="5" count="1" selected="0">
            <x v="2"/>
          </reference>
        </references>
      </pivotArea>
    </chartFormat>
    <chartFormat chart="6" format="29">
      <pivotArea type="data" outline="0" fieldPosition="0">
        <references count="2">
          <reference field="4294967294" count="1" selected="0">
            <x v="0"/>
          </reference>
          <reference field="5" count="1" selected="0">
            <x v="3"/>
          </reference>
        </references>
      </pivotArea>
    </chartFormat>
    <chartFormat chart="6" format="30">
      <pivotArea type="data" outline="0" fieldPosition="0">
        <references count="2">
          <reference field="4294967294" count="1" selected="0">
            <x v="0"/>
          </reference>
          <reference field="5" count="1" selected="0">
            <x v="4"/>
          </reference>
        </references>
      </pivotArea>
    </chartFormat>
    <chartFormat chart="6" format="31">
      <pivotArea type="data" outline="0" fieldPosition="0">
        <references count="2">
          <reference field="4294967294" count="1" selected="0">
            <x v="0"/>
          </reference>
          <reference field="5" count="1" selected="0">
            <x v="5"/>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4">
  <location ref="N8:O14" firstHeaderRow="1" firstDataRow="1" firstDataCol="1"/>
  <pivotFields count="11">
    <pivotField compact="0" outline="0" showAll="0"/>
    <pivotField compact="0" numFmtId="14" outline="0" showAll="0">
      <items count="20">
        <item x="0"/>
        <item x="1"/>
        <item x="2"/>
        <item x="3"/>
        <item x="4"/>
        <item x="5"/>
        <item x="6"/>
        <item x="7"/>
        <item x="8"/>
        <item x="9"/>
        <item x="10"/>
        <item x="11"/>
        <item x="12"/>
        <item x="13"/>
        <item x="14"/>
        <item x="15"/>
        <item x="16"/>
        <item x="17"/>
        <item x="18"/>
        <item t="default"/>
      </items>
    </pivotField>
    <pivotField compact="0" outline="0" showAll="0"/>
    <pivotField compact="0" outline="0" showAll="0"/>
    <pivotField compact="0" numFmtId="1" outline="0" showAll="0"/>
    <pivotField axis="axisRow" compact="0" outline="0" showAll="0">
      <items count="7">
        <item x="2"/>
        <item x="4"/>
        <item x="0"/>
        <item x="5"/>
        <item x="3"/>
        <item x="1"/>
        <item t="default"/>
      </items>
    </pivotField>
    <pivotField compact="0" numFmtId="164" outline="0" showAll="0"/>
    <pivotField dataField="1" compact="0" outline="0" showAll="0"/>
    <pivotField compact="0" numFmtId="164" outline="0" showAll="0"/>
    <pivotField compact="0" outline="0" showAll="0"/>
    <pivotField compact="0" outline="0" showAll="0" defaultSubtotal="0">
      <items count="5">
        <item x="4"/>
        <item x="2"/>
        <item x="3"/>
        <item x="1"/>
        <item x="0"/>
      </items>
    </pivotField>
  </pivotFields>
  <rowFields count="1">
    <field x="5"/>
  </rowFields>
  <rowItems count="6">
    <i>
      <x/>
    </i>
    <i>
      <x v="1"/>
    </i>
    <i>
      <x v="2"/>
    </i>
    <i>
      <x v="3"/>
    </i>
    <i>
      <x v="4"/>
    </i>
    <i>
      <x v="5"/>
    </i>
  </rowItems>
  <colItems count="1">
    <i/>
  </colItems>
  <dataFields count="1">
    <dataField name="Sum of Quantity" fld="7"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4">
  <location ref="A8:B12" firstHeaderRow="1" firstDataRow="1" firstDataCol="1"/>
  <pivotFields count="11">
    <pivotField compact="0" outline="0" showAll="0"/>
    <pivotField compact="0" numFmtId="14" outline="0" showAll="0"/>
    <pivotField axis="axisRow" compact="0" outline="0" showAll="0">
      <items count="5">
        <item x="0"/>
        <item x="1"/>
        <item x="2"/>
        <item x="3"/>
        <item t="default"/>
      </items>
    </pivotField>
    <pivotField compact="0" outline="0" showAll="0"/>
    <pivotField compact="0" numFmtId="1" outline="0" showAll="0" defaultSubtotal="0"/>
    <pivotField compact="0" outline="0" showAll="0">
      <items count="7">
        <item x="2"/>
        <item x="4"/>
        <item x="0"/>
        <item x="5"/>
        <item x="3"/>
        <item x="1"/>
        <item t="default"/>
      </items>
    </pivotField>
    <pivotField compact="0" numFmtId="164" outline="0" showAll="0"/>
    <pivotField compact="0" outline="0" showAll="0"/>
    <pivotField dataField="1" compact="0" numFmtId="164" outline="0" showAll="0"/>
    <pivotField compact="0" outline="0" showAll="0"/>
    <pivotField compact="0" outline="0" showAll="0" defaultSubtotal="0">
      <items count="5">
        <item x="4"/>
        <item x="2"/>
        <item x="3"/>
        <item x="1"/>
        <item x="0"/>
      </items>
    </pivotField>
  </pivotFields>
  <rowFields count="1">
    <field x="2"/>
  </rowFields>
  <rowItems count="4">
    <i>
      <x/>
    </i>
    <i>
      <x v="1"/>
    </i>
    <i>
      <x v="2"/>
    </i>
    <i>
      <x v="3"/>
    </i>
  </rowItems>
  <colItems count="1">
    <i/>
  </colItems>
  <dataFields count="1">
    <dataField name="Sum of Total_Sales" fld="8" baseField="0" baseItem="0" numFmtId="165"/>
  </dataFields>
  <formats count="1">
    <format dxfId="7">
      <pivotArea outline="0" collapsedLevelsAreSubtotals="1" fieldPosition="0"/>
    </format>
  </format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5">
  <location ref="F45:G50" firstHeaderRow="1" firstDataRow="1" firstDataCol="1"/>
  <pivotFields count="7">
    <pivotField dataField="1" compact="0" outline="0" showAll="0"/>
    <pivotField compact="0" outline="0" showAll="0"/>
    <pivotField compact="0" numFmtId="165" outline="0" showAll="0"/>
    <pivotField compact="0" outline="0" showAll="0"/>
    <pivotField compact="0" outline="0" showAll="0"/>
    <pivotField compact="0" outline="0" showAll="0"/>
    <pivotField axis="axisRow" compact="0" outline="0" showAll="0" sortType="descending">
      <items count="6">
        <item x="0"/>
        <item x="1"/>
        <item x="3"/>
        <item x="2"/>
        <item x="4"/>
        <item t="default"/>
      </items>
    </pivotField>
  </pivotFields>
  <rowFields count="1">
    <field x="6"/>
  </rowFields>
  <rowItems count="5">
    <i>
      <x/>
    </i>
    <i>
      <x v="1"/>
    </i>
    <i>
      <x v="2"/>
    </i>
    <i>
      <x v="3"/>
    </i>
    <i>
      <x v="4"/>
    </i>
  </rowItems>
  <colItems count="1">
    <i/>
  </colItems>
  <dataFields count="1">
    <dataField name="Count of Customer_Id" fld="0" subtotal="count" baseField="6"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2" unboundColumnsRight="1">
    <queryTableFields count="11">
      <queryTableField id="1" name="txn_no" tableColumnId="1"/>
      <queryTableField id="2" name="date" tableColumnId="2"/>
      <queryTableField id="3" name="month" tableColumnId="3"/>
      <queryTableField id="4" name="customer_id" tableColumnId="4"/>
      <queryTableField id="5" name="product_id" tableColumnId="5"/>
      <queryTableField id="6" name="product_name" tableColumnId="6"/>
      <queryTableField id="7" name="price" tableColumnId="7"/>
      <queryTableField id="8" name="quantity" tableColumnId="8"/>
      <queryTableField id="9" name="total_sales" tableColumnId="9"/>
      <queryTableField id="10" name="country"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Segment" sourceName="Customer_Segment">
  <pivotTables>
    <pivotTable tabId="1" name="PivotTable8"/>
    <pivotTable tabId="1" name="PivotTable11"/>
    <pivotTable tabId="1" name="PivotTable2"/>
    <pivotTable tabId="1" name="PivotTable3"/>
    <pivotTable tabId="1" name="PivotTable4"/>
    <pivotTable tabId="1" name="PivotTable5"/>
    <pivotTable tabId="1" name="PivotTable6"/>
  </pivotTables>
  <data>
    <tabular pivotCacheId="1">
      <items count="5">
        <i x="4" s="1"/>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Name" sourceName="Product_Name">
  <pivotTables>
    <pivotTable tabId="1" name="PivotTable8"/>
    <pivotTable tabId="1" name="PivotTable2"/>
    <pivotTable tabId="1" name="PivotTable4"/>
    <pivotTable tabId="1" name="PivotTable5"/>
    <pivotTable tabId="1" name="PivotTable6"/>
  </pivotTables>
  <data>
    <tabular pivotCacheId="1">
      <items count="6">
        <i x="2" s="1"/>
        <i x="4" s="1"/>
        <i x="0" s="1"/>
        <i x="5"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     " cache="Slicer_Customer_Segment" caption="     " columnCount="2" style="SlicerStyleLight6" rowHeight="274320"/>
  <slicer name=" " cache="Slicer_Product_Name" caption=" " columnCount="3" style="SlicerStyleLight6"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ales_dataset" displayName="sales_dataset" ref="A1:K21" tableType="queryTable" totalsRowShown="0" headerRowDxfId="19">
  <autoFilter ref="A1:K2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uniqueName="1" name="Txn No" queryTableFieldId="1" dataDxfId="18"/>
    <tableColumn id="2" uniqueName="2" name="Date" queryTableFieldId="2" dataDxfId="17"/>
    <tableColumn id="3" uniqueName="3" name="Month" queryTableFieldId="3" dataDxfId="16"/>
    <tableColumn id="4" uniqueName="4" name="Customer Id" queryTableFieldId="4" dataDxfId="15"/>
    <tableColumn id="5" uniqueName="5" name="Product Id" queryTableFieldId="5" dataDxfId="14" dataCellStyle="Currency"/>
    <tableColumn id="6" uniqueName="6" name="Product Name" queryTableFieldId="6" dataDxfId="13"/>
    <tableColumn id="7" uniqueName="7" name="Price" queryTableFieldId="7" dataDxfId="12" dataCellStyle="Currency"/>
    <tableColumn id="8" uniqueName="8" name="Quantity" queryTableFieldId="8" dataDxfId="11"/>
    <tableColumn id="9" uniqueName="9" name="Total Sales" queryTableFieldId="9" dataDxfId="10" dataCellStyle="Currency"/>
    <tableColumn id="10" uniqueName="10" name="Country" queryTableFieldId="10" dataDxfId="9"/>
    <tableColumn id="11" uniqueName="11" name="Customer Segment" queryTableFieldId="11" dataDxfId="8"/>
  </tableColumns>
  <tableStyleInfo name="TableStyleLight21" showFirstColumn="1" showLastColumn="0" showRowStripes="1" showColumnStripes="0"/>
</table>
</file>

<file path=xl/tables/table2.xml><?xml version="1.0" encoding="utf-8"?>
<table xmlns="http://schemas.openxmlformats.org/spreadsheetml/2006/main" id="2" name="Table2" displayName="Table2" ref="I33:L41" totalsRowShown="0">
  <autoFilter ref="I33:L41">
    <filterColumn colId="0" hiddenButton="1"/>
    <filterColumn colId="1" hiddenButton="1"/>
    <filterColumn colId="2" hiddenButton="1"/>
    <filterColumn colId="3" hiddenButton="1"/>
  </autoFilter>
  <tableColumns count="4">
    <tableColumn id="1" name="Frequency Score"/>
    <tableColumn id="2" name="Monetary Score"/>
    <tableColumn id="3" name="Combo"/>
    <tableColumn id="4" name="Customer Segment" dataDxfId="2"/>
  </tableColumns>
  <tableStyleInfo name="TableStyleLight16" showFirstColumn="0" showLastColumn="0" showRowStripes="1" showColumnStripes="0"/>
</table>
</file>

<file path=xl/tables/table3.xml><?xml version="1.0" encoding="utf-8"?>
<table xmlns="http://schemas.openxmlformats.org/spreadsheetml/2006/main" id="3" name="Table3" displayName="Table3" ref="F33:H41" totalsRowShown="0" headerRowDxfId="1">
  <autoFilter ref="F33:H41">
    <filterColumn colId="0" hiddenButton="1"/>
    <filterColumn colId="1" hiddenButton="1"/>
    <filterColumn colId="2" hiddenButton="1"/>
  </autoFilter>
  <tableColumns count="3">
    <tableColumn id="1" name="Customer_Id"/>
    <tableColumn id="2" name="Txn_Count"/>
    <tableColumn id="3" name="Total_Sales" dataDxfId="0"/>
  </tableColumns>
  <tableStyleInfo name="TableStyleLight16"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1" name="PivotTable8"/>
    <pivotTable tabId="1" name="PivotTable11"/>
    <pivotTable tabId="1" name="PivotTable3"/>
    <pivotTable tabId="1" name="PivotTable4"/>
    <pivotTable tabId="1" name="PivotTable5"/>
    <pivotTable tabId="1" name="PivotTable6"/>
  </pivotTables>
  <state minimalRefreshVersion="6" lastRefreshVersion="6" pivotCacheId="1"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 level="2" selectionLevel="2" scrollPosition="2025-01-01T00:00:00" style="TimeSlicerStyleLight6"/>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selection activeCell="C36" sqref="C36"/>
    </sheetView>
  </sheetViews>
  <sheetFormatPr defaultRowHeight="15" x14ac:dyDescent="0.25"/>
  <cols>
    <col min="1" max="1" width="9.42578125" bestFit="1" customWidth="1"/>
    <col min="2" max="2" width="9.7109375" style="2" bestFit="1" customWidth="1"/>
    <col min="3" max="3" width="9.140625" bestFit="1" customWidth="1"/>
    <col min="4" max="4" width="14.28515625" style="8" bestFit="1" customWidth="1"/>
    <col min="5" max="5" width="12.85546875" style="9" bestFit="1" customWidth="1"/>
    <col min="6" max="6" width="16.28515625" bestFit="1" customWidth="1"/>
    <col min="7" max="7" width="10.42578125" style="3" bestFit="1" customWidth="1"/>
    <col min="8" max="8" width="10.7109375" bestFit="1" customWidth="1"/>
    <col min="9" max="9" width="14.28515625" style="3" bestFit="1" customWidth="1"/>
    <col min="10" max="10" width="10" style="3" bestFit="1" customWidth="1"/>
    <col min="11" max="11" width="21" bestFit="1" customWidth="1"/>
    <col min="12" max="12" width="18.28515625" style="3" bestFit="1" customWidth="1"/>
    <col min="13" max="13" width="16.7109375" style="3" bestFit="1" customWidth="1"/>
    <col min="14" max="14" width="8" style="3" bestFit="1" customWidth="1"/>
    <col min="15" max="15" width="10" bestFit="1" customWidth="1"/>
  </cols>
  <sheetData>
    <row r="1" spans="1:14" x14ac:dyDescent="0.25">
      <c r="A1" s="10" t="s">
        <v>84</v>
      </c>
      <c r="B1" s="10" t="s">
        <v>40</v>
      </c>
      <c r="C1" s="10" t="s">
        <v>41</v>
      </c>
      <c r="D1" s="10" t="s">
        <v>85</v>
      </c>
      <c r="E1" s="10" t="s">
        <v>86</v>
      </c>
      <c r="F1" s="10" t="s">
        <v>87</v>
      </c>
      <c r="G1" s="10" t="s">
        <v>44</v>
      </c>
      <c r="H1" s="10" t="s">
        <v>45</v>
      </c>
      <c r="I1" s="10" t="s">
        <v>88</v>
      </c>
      <c r="J1" s="10" t="s">
        <v>47</v>
      </c>
      <c r="K1" s="10" t="s">
        <v>63</v>
      </c>
      <c r="L1"/>
      <c r="M1"/>
      <c r="N1"/>
    </row>
    <row r="2" spans="1:14" x14ac:dyDescent="0.25">
      <c r="A2" s="1" t="s">
        <v>0</v>
      </c>
      <c r="B2" s="2">
        <v>45659</v>
      </c>
      <c r="C2" s="1" t="s">
        <v>1</v>
      </c>
      <c r="D2" s="8" t="s">
        <v>2</v>
      </c>
      <c r="E2" s="9" t="s">
        <v>78</v>
      </c>
      <c r="F2" s="1" t="s">
        <v>3</v>
      </c>
      <c r="G2" s="3">
        <v>350000</v>
      </c>
      <c r="H2" s="1">
        <v>1</v>
      </c>
      <c r="I2" s="3">
        <v>350000</v>
      </c>
      <c r="J2" s="1" t="s">
        <v>4</v>
      </c>
      <c r="K2" s="1" t="str">
        <f>VLOOKUP(sales_dataset[[#This Row],[Customer Id]],Analysis!$F$34:$L$41,7,FALSE)</f>
        <v>VIP</v>
      </c>
      <c r="L2"/>
      <c r="M2"/>
      <c r="N2"/>
    </row>
    <row r="3" spans="1:14" x14ac:dyDescent="0.25">
      <c r="A3" s="1" t="s">
        <v>5</v>
      </c>
      <c r="B3" s="2">
        <v>45659</v>
      </c>
      <c r="C3" s="1" t="s">
        <v>1</v>
      </c>
      <c r="D3" s="8" t="s">
        <v>6</v>
      </c>
      <c r="E3" s="9" t="s">
        <v>79</v>
      </c>
      <c r="F3" s="1" t="s">
        <v>7</v>
      </c>
      <c r="G3" s="3">
        <v>180000</v>
      </c>
      <c r="H3" s="1">
        <v>2</v>
      </c>
      <c r="I3" s="3">
        <v>360000</v>
      </c>
      <c r="J3" s="1" t="s">
        <v>4</v>
      </c>
      <c r="K3" s="1" t="str">
        <f>VLOOKUP(sales_dataset[[#This Row],[Customer Id]],Analysis!$F$34:$L$41,7,FALSE)</f>
        <v>VIP</v>
      </c>
      <c r="L3"/>
      <c r="M3"/>
      <c r="N3"/>
    </row>
    <row r="4" spans="1:14" x14ac:dyDescent="0.25">
      <c r="A4" s="1" t="s">
        <v>8</v>
      </c>
      <c r="B4" s="2">
        <v>45660</v>
      </c>
      <c r="C4" s="1" t="s">
        <v>1</v>
      </c>
      <c r="D4" s="8" t="s">
        <v>9</v>
      </c>
      <c r="E4" s="9" t="s">
        <v>80</v>
      </c>
      <c r="F4" s="1" t="s">
        <v>10</v>
      </c>
      <c r="G4" s="3">
        <v>25000</v>
      </c>
      <c r="H4" s="1">
        <v>3</v>
      </c>
      <c r="I4" s="3">
        <v>75000</v>
      </c>
      <c r="J4" s="1" t="s">
        <v>4</v>
      </c>
      <c r="K4" s="1" t="str">
        <f>VLOOKUP(sales_dataset[[#This Row],[Customer Id]],Analysis!$F$34:$L$41,7,FALSE)</f>
        <v>VIP</v>
      </c>
      <c r="L4"/>
      <c r="M4"/>
      <c r="N4"/>
    </row>
    <row r="5" spans="1:14" x14ac:dyDescent="0.25">
      <c r="A5" s="1" t="s">
        <v>11</v>
      </c>
      <c r="B5" s="2">
        <v>45662</v>
      </c>
      <c r="C5" s="1" t="s">
        <v>1</v>
      </c>
      <c r="D5" s="8" t="s">
        <v>2</v>
      </c>
      <c r="E5" s="9" t="s">
        <v>81</v>
      </c>
      <c r="F5" s="1" t="s">
        <v>12</v>
      </c>
      <c r="G5" s="3">
        <v>8000</v>
      </c>
      <c r="H5" s="1">
        <v>2</v>
      </c>
      <c r="I5" s="3">
        <v>16000</v>
      </c>
      <c r="J5" s="1" t="s">
        <v>4</v>
      </c>
      <c r="K5" s="1" t="str">
        <f>VLOOKUP(sales_dataset[[#This Row],[Customer Id]],Analysis!$F$34:$L$41,7,FALSE)</f>
        <v>VIP</v>
      </c>
      <c r="L5"/>
      <c r="M5"/>
      <c r="N5"/>
    </row>
    <row r="6" spans="1:14" x14ac:dyDescent="0.25">
      <c r="A6" s="1" t="s">
        <v>13</v>
      </c>
      <c r="B6" s="2">
        <v>45663</v>
      </c>
      <c r="C6" s="1" t="s">
        <v>1</v>
      </c>
      <c r="D6" s="8" t="s">
        <v>14</v>
      </c>
      <c r="E6" s="9" t="s">
        <v>79</v>
      </c>
      <c r="F6" s="1" t="s">
        <v>7</v>
      </c>
      <c r="G6" s="3">
        <v>180000</v>
      </c>
      <c r="H6" s="1">
        <v>1</v>
      </c>
      <c r="I6" s="3">
        <v>180000</v>
      </c>
      <c r="J6" s="1" t="s">
        <v>4</v>
      </c>
      <c r="K6" s="1" t="str">
        <f>VLOOKUP(sales_dataset[[#This Row],[Customer Id]],Analysis!$F$34:$L$41,7,FALSE)</f>
        <v>Regular</v>
      </c>
      <c r="L6"/>
      <c r="M6"/>
      <c r="N6"/>
    </row>
    <row r="7" spans="1:14" x14ac:dyDescent="0.25">
      <c r="A7" s="1" t="s">
        <v>15</v>
      </c>
      <c r="B7" s="2">
        <v>45667</v>
      </c>
      <c r="C7" s="1" t="s">
        <v>1</v>
      </c>
      <c r="D7" s="8" t="s">
        <v>6</v>
      </c>
      <c r="E7" s="9" t="s">
        <v>82</v>
      </c>
      <c r="F7" s="1" t="s">
        <v>16</v>
      </c>
      <c r="G7" s="3">
        <v>15000</v>
      </c>
      <c r="H7" s="1">
        <v>2</v>
      </c>
      <c r="I7" s="3">
        <v>30000</v>
      </c>
      <c r="J7" s="1" t="s">
        <v>4</v>
      </c>
      <c r="K7" s="1" t="str">
        <f>VLOOKUP(sales_dataset[[#This Row],[Customer Id]],Analysis!$F$34:$L$41,7,FALSE)</f>
        <v>VIP</v>
      </c>
      <c r="L7"/>
      <c r="M7"/>
      <c r="N7"/>
    </row>
    <row r="8" spans="1:14" x14ac:dyDescent="0.25">
      <c r="A8" s="1" t="s">
        <v>17</v>
      </c>
      <c r="B8" s="2">
        <v>45690</v>
      </c>
      <c r="C8" s="1" t="s">
        <v>18</v>
      </c>
      <c r="D8" s="8" t="s">
        <v>19</v>
      </c>
      <c r="E8" s="9" t="s">
        <v>78</v>
      </c>
      <c r="F8" s="1" t="s">
        <v>3</v>
      </c>
      <c r="G8" s="3">
        <v>350000</v>
      </c>
      <c r="H8" s="1">
        <v>1</v>
      </c>
      <c r="I8" s="3">
        <v>350000</v>
      </c>
      <c r="J8" s="1" t="s">
        <v>4</v>
      </c>
      <c r="K8" s="1" t="str">
        <f>VLOOKUP(sales_dataset[[#This Row],[Customer Id]],Analysis!$F$34:$L$41,7,FALSE)</f>
        <v>High Value</v>
      </c>
      <c r="L8"/>
      <c r="M8"/>
      <c r="N8"/>
    </row>
    <row r="9" spans="1:14" x14ac:dyDescent="0.25">
      <c r="A9" s="1" t="s">
        <v>20</v>
      </c>
      <c r="B9" s="2">
        <v>45692</v>
      </c>
      <c r="C9" s="1" t="s">
        <v>18</v>
      </c>
      <c r="D9" s="8" t="s">
        <v>9</v>
      </c>
      <c r="E9" s="9" t="s">
        <v>79</v>
      </c>
      <c r="F9" s="1" t="s">
        <v>7</v>
      </c>
      <c r="G9" s="3">
        <v>180000</v>
      </c>
      <c r="H9" s="1">
        <v>1</v>
      </c>
      <c r="I9" s="3">
        <v>180000</v>
      </c>
      <c r="J9" s="1" t="s">
        <v>4</v>
      </c>
      <c r="K9" s="1" t="str">
        <f>VLOOKUP(sales_dataset[[#This Row],[Customer Id]],Analysis!$F$34:$L$41,7,FALSE)</f>
        <v>VIP</v>
      </c>
      <c r="L9"/>
      <c r="M9"/>
      <c r="N9"/>
    </row>
    <row r="10" spans="1:14" x14ac:dyDescent="0.25">
      <c r="A10" s="1" t="s">
        <v>21</v>
      </c>
      <c r="B10" s="2">
        <v>45694</v>
      </c>
      <c r="C10" s="1" t="s">
        <v>18</v>
      </c>
      <c r="D10" s="8" t="s">
        <v>22</v>
      </c>
      <c r="E10" s="9" t="s">
        <v>83</v>
      </c>
      <c r="F10" s="1" t="s">
        <v>23</v>
      </c>
      <c r="G10" s="3">
        <v>120000</v>
      </c>
      <c r="H10" s="1">
        <v>2</v>
      </c>
      <c r="I10" s="3">
        <v>240000</v>
      </c>
      <c r="J10" s="1" t="s">
        <v>4</v>
      </c>
      <c r="K10" s="1" t="str">
        <f>VLOOKUP(sales_dataset[[#This Row],[Customer Id]],Analysis!$F$34:$L$41,7,FALSE)</f>
        <v>Regular</v>
      </c>
      <c r="L10"/>
      <c r="M10"/>
      <c r="N10"/>
    </row>
    <row r="11" spans="1:14" x14ac:dyDescent="0.25">
      <c r="A11" s="1" t="s">
        <v>24</v>
      </c>
      <c r="B11" s="2">
        <v>45698</v>
      </c>
      <c r="C11" s="1" t="s">
        <v>18</v>
      </c>
      <c r="D11" s="8" t="s">
        <v>6</v>
      </c>
      <c r="E11" s="9" t="s">
        <v>80</v>
      </c>
      <c r="F11" s="1" t="s">
        <v>10</v>
      </c>
      <c r="G11" s="3">
        <v>25000</v>
      </c>
      <c r="H11" s="1">
        <v>4</v>
      </c>
      <c r="I11" s="3">
        <v>100000</v>
      </c>
      <c r="J11" s="1" t="s">
        <v>4</v>
      </c>
      <c r="K11" s="1" t="str">
        <f>VLOOKUP(sales_dataset[[#This Row],[Customer Id]],Analysis!$F$34:$L$41,7,FALSE)</f>
        <v>VIP</v>
      </c>
      <c r="L11"/>
      <c r="M11"/>
      <c r="N11"/>
    </row>
    <row r="12" spans="1:14" x14ac:dyDescent="0.25">
      <c r="A12" s="1" t="s">
        <v>25</v>
      </c>
      <c r="B12" s="2">
        <v>45700</v>
      </c>
      <c r="C12" s="1" t="s">
        <v>18</v>
      </c>
      <c r="D12" s="8" t="s">
        <v>2</v>
      </c>
      <c r="E12" s="9" t="s">
        <v>79</v>
      </c>
      <c r="F12" s="1" t="s">
        <v>7</v>
      </c>
      <c r="G12" s="3">
        <v>180000</v>
      </c>
      <c r="H12" s="1">
        <v>1</v>
      </c>
      <c r="I12" s="3">
        <v>180000</v>
      </c>
      <c r="J12" s="1" t="s">
        <v>4</v>
      </c>
      <c r="K12" s="1" t="str">
        <f>VLOOKUP(sales_dataset[[#This Row],[Customer Id]],Analysis!$F$34:$L$41,7,FALSE)</f>
        <v>VIP</v>
      </c>
      <c r="L12"/>
      <c r="M12"/>
      <c r="N12"/>
    </row>
    <row r="13" spans="1:14" x14ac:dyDescent="0.25">
      <c r="A13" s="1" t="s">
        <v>26</v>
      </c>
      <c r="B13" s="2">
        <v>45717</v>
      </c>
      <c r="C13" s="1" t="s">
        <v>27</v>
      </c>
      <c r="D13" s="8" t="s">
        <v>28</v>
      </c>
      <c r="E13" s="9" t="s">
        <v>81</v>
      </c>
      <c r="F13" s="1" t="s">
        <v>12</v>
      </c>
      <c r="G13" s="3">
        <v>8000</v>
      </c>
      <c r="H13" s="1">
        <v>5</v>
      </c>
      <c r="I13" s="3">
        <v>40000</v>
      </c>
      <c r="J13" s="1" t="s">
        <v>4</v>
      </c>
      <c r="K13" s="1" t="str">
        <f>VLOOKUP(sales_dataset[[#This Row],[Customer Id]],Analysis!$F$34:$L$41,7,FALSE)</f>
        <v>Low Value</v>
      </c>
      <c r="L13"/>
      <c r="M13"/>
      <c r="N13"/>
    </row>
    <row r="14" spans="1:14" x14ac:dyDescent="0.25">
      <c r="A14" s="1" t="s">
        <v>29</v>
      </c>
      <c r="B14" s="2">
        <v>45719</v>
      </c>
      <c r="C14" s="1" t="s">
        <v>27</v>
      </c>
      <c r="D14" s="8" t="s">
        <v>9</v>
      </c>
      <c r="E14" s="9" t="s">
        <v>78</v>
      </c>
      <c r="F14" s="1" t="s">
        <v>3</v>
      </c>
      <c r="G14" s="3">
        <v>350000</v>
      </c>
      <c r="H14" s="1">
        <v>1</v>
      </c>
      <c r="I14" s="3">
        <v>350000</v>
      </c>
      <c r="J14" s="1" t="s">
        <v>4</v>
      </c>
      <c r="K14" s="1" t="str">
        <f>VLOOKUP(sales_dataset[[#This Row],[Customer Id]],Analysis!$F$34:$L$41,7,FALSE)</f>
        <v>VIP</v>
      </c>
      <c r="L14"/>
      <c r="M14"/>
      <c r="N14"/>
    </row>
    <row r="15" spans="1:14" x14ac:dyDescent="0.25">
      <c r="A15" s="1" t="s">
        <v>30</v>
      </c>
      <c r="B15" s="2">
        <v>45721</v>
      </c>
      <c r="C15" s="1" t="s">
        <v>27</v>
      </c>
      <c r="D15" s="8" t="s">
        <v>14</v>
      </c>
      <c r="E15" s="9" t="s">
        <v>83</v>
      </c>
      <c r="F15" s="1" t="s">
        <v>23</v>
      </c>
      <c r="G15" s="3">
        <v>120000</v>
      </c>
      <c r="H15" s="1">
        <v>1</v>
      </c>
      <c r="I15" s="3">
        <v>120000</v>
      </c>
      <c r="J15" s="1" t="s">
        <v>4</v>
      </c>
      <c r="K15" s="1" t="str">
        <f>VLOOKUP(sales_dataset[[#This Row],[Customer Id]],Analysis!$F$34:$L$41,7,FALSE)</f>
        <v>Regular</v>
      </c>
      <c r="L15"/>
      <c r="M15"/>
      <c r="N15"/>
    </row>
    <row r="16" spans="1:14" x14ac:dyDescent="0.25">
      <c r="A16" s="1" t="s">
        <v>31</v>
      </c>
      <c r="B16" s="2">
        <v>45724</v>
      </c>
      <c r="C16" s="1" t="s">
        <v>27</v>
      </c>
      <c r="D16" s="8" t="s">
        <v>6</v>
      </c>
      <c r="E16" s="9" t="s">
        <v>79</v>
      </c>
      <c r="F16" s="1" t="s">
        <v>7</v>
      </c>
      <c r="G16" s="3">
        <v>180000</v>
      </c>
      <c r="H16" s="1">
        <v>2</v>
      </c>
      <c r="I16" s="3">
        <v>360000</v>
      </c>
      <c r="J16" s="1" t="s">
        <v>4</v>
      </c>
      <c r="K16" s="1" t="str">
        <f>VLOOKUP(sales_dataset[[#This Row],[Customer Id]],Analysis!$F$34:$L$41,7,FALSE)</f>
        <v>VIP</v>
      </c>
      <c r="L16"/>
      <c r="M16"/>
      <c r="N16"/>
    </row>
    <row r="17" spans="1:14" x14ac:dyDescent="0.25">
      <c r="A17" s="1" t="s">
        <v>32</v>
      </c>
      <c r="B17" s="2">
        <v>45726</v>
      </c>
      <c r="C17" s="1" t="s">
        <v>27</v>
      </c>
      <c r="D17" s="8" t="s">
        <v>19</v>
      </c>
      <c r="E17" s="9" t="s">
        <v>82</v>
      </c>
      <c r="F17" s="1" t="s">
        <v>16</v>
      </c>
      <c r="G17" s="3">
        <v>15000</v>
      </c>
      <c r="H17" s="1">
        <v>3</v>
      </c>
      <c r="I17" s="3">
        <v>45000</v>
      </c>
      <c r="J17" s="1" t="s">
        <v>4</v>
      </c>
      <c r="K17" s="1" t="str">
        <f>VLOOKUP(sales_dataset[[#This Row],[Customer Id]],Analysis!$F$34:$L$41,7,FALSE)</f>
        <v>High Value</v>
      </c>
      <c r="L17"/>
      <c r="M17"/>
      <c r="N17"/>
    </row>
    <row r="18" spans="1:14" x14ac:dyDescent="0.25">
      <c r="A18" s="1" t="s">
        <v>33</v>
      </c>
      <c r="B18" s="2">
        <v>45728</v>
      </c>
      <c r="C18" s="1" t="s">
        <v>27</v>
      </c>
      <c r="D18" s="8" t="s">
        <v>22</v>
      </c>
      <c r="E18" s="9" t="s">
        <v>80</v>
      </c>
      <c r="F18" s="1" t="s">
        <v>10</v>
      </c>
      <c r="G18" s="3">
        <v>25000</v>
      </c>
      <c r="H18" s="1">
        <v>2</v>
      </c>
      <c r="I18" s="3">
        <v>50000</v>
      </c>
      <c r="J18" s="1" t="s">
        <v>4</v>
      </c>
      <c r="K18" s="1" t="str">
        <f>VLOOKUP(sales_dataset[[#This Row],[Customer Id]],Analysis!$F$34:$L$41,7,FALSE)</f>
        <v>Regular</v>
      </c>
      <c r="L18"/>
      <c r="M18"/>
      <c r="N18"/>
    </row>
    <row r="19" spans="1:14" x14ac:dyDescent="0.25">
      <c r="A19" s="1" t="s">
        <v>34</v>
      </c>
      <c r="B19" s="2">
        <v>45748</v>
      </c>
      <c r="C19" s="1" t="s">
        <v>35</v>
      </c>
      <c r="D19" s="8" t="s">
        <v>2</v>
      </c>
      <c r="E19" s="9" t="s">
        <v>78</v>
      </c>
      <c r="F19" s="1" t="s">
        <v>3</v>
      </c>
      <c r="G19" s="3">
        <v>350000</v>
      </c>
      <c r="H19" s="1">
        <v>1</v>
      </c>
      <c r="I19" s="3">
        <v>350000</v>
      </c>
      <c r="J19" s="1" t="s">
        <v>4</v>
      </c>
      <c r="K19" s="1" t="str">
        <f>VLOOKUP(sales_dataset[[#This Row],[Customer Id]],Analysis!$F$34:$L$41,7,FALSE)</f>
        <v>VIP</v>
      </c>
      <c r="L19"/>
      <c r="M19"/>
      <c r="N19"/>
    </row>
    <row r="20" spans="1:14" x14ac:dyDescent="0.25">
      <c r="A20" s="1" t="s">
        <v>36</v>
      </c>
      <c r="B20" s="2">
        <v>45750</v>
      </c>
      <c r="C20" s="1" t="s">
        <v>35</v>
      </c>
      <c r="D20" s="8" t="s">
        <v>37</v>
      </c>
      <c r="E20" s="9" t="s">
        <v>79</v>
      </c>
      <c r="F20" s="1" t="s">
        <v>7</v>
      </c>
      <c r="G20" s="3">
        <v>180000</v>
      </c>
      <c r="H20" s="1">
        <v>1</v>
      </c>
      <c r="I20" s="3">
        <v>180000</v>
      </c>
      <c r="J20" s="1" t="s">
        <v>4</v>
      </c>
      <c r="K20" s="1" t="str">
        <f>VLOOKUP(sales_dataset[[#This Row],[Customer Id]],Analysis!$F$34:$L$41,7,FALSE)</f>
        <v>At Risk</v>
      </c>
      <c r="L20"/>
      <c r="M20"/>
      <c r="N20"/>
    </row>
    <row r="21" spans="1:14" x14ac:dyDescent="0.25">
      <c r="A21" s="1" t="s">
        <v>38</v>
      </c>
      <c r="B21" s="2">
        <v>45752</v>
      </c>
      <c r="C21" s="1" t="s">
        <v>35</v>
      </c>
      <c r="D21" s="8" t="s">
        <v>9</v>
      </c>
      <c r="E21" s="9" t="s">
        <v>81</v>
      </c>
      <c r="F21" s="1" t="s">
        <v>12</v>
      </c>
      <c r="G21" s="3">
        <v>8000</v>
      </c>
      <c r="H21" s="1">
        <v>4</v>
      </c>
      <c r="I21" s="3">
        <v>32000</v>
      </c>
      <c r="J21" s="1" t="s">
        <v>4</v>
      </c>
      <c r="K21" s="1" t="str">
        <f>VLOOKUP(sales_dataset[[#This Row],[Customer Id]],Analysis!$F$34:$L$41,7,FALSE)</f>
        <v>VIP</v>
      </c>
      <c r="L21"/>
      <c r="M21"/>
      <c r="N21"/>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60"/>
  <sheetViews>
    <sheetView topLeftCell="A22" workbookViewId="0">
      <selection activeCell="C36" sqref="C36"/>
    </sheetView>
  </sheetViews>
  <sheetFormatPr defaultRowHeight="15" x14ac:dyDescent="0.25"/>
  <cols>
    <col min="1" max="1" width="14.5703125" customWidth="1"/>
    <col min="2" max="3" width="17.85546875" customWidth="1"/>
    <col min="4" max="4" width="16.5703125" customWidth="1"/>
    <col min="5" max="5" width="17.85546875" customWidth="1"/>
    <col min="6" max="6" width="20.42578125" customWidth="1"/>
    <col min="7" max="7" width="10" customWidth="1"/>
    <col min="8" max="8" width="19" customWidth="1"/>
    <col min="9" max="9" width="20.42578125" bestFit="1" customWidth="1"/>
    <col min="10" max="10" width="14.5703125" customWidth="1"/>
    <col min="11" max="11" width="15.85546875" customWidth="1"/>
    <col min="12" max="12" width="18.140625" bestFit="1" customWidth="1"/>
    <col min="13" max="13" width="17.85546875" customWidth="1"/>
    <col min="14" max="14" width="16.5703125" customWidth="1"/>
    <col min="15" max="15" width="15.42578125" customWidth="1"/>
    <col min="16" max="17" width="14.85546875" customWidth="1"/>
    <col min="18" max="18" width="9.42578125" customWidth="1"/>
    <col min="19" max="21" width="14.7109375" customWidth="1"/>
    <col min="22" max="22" width="13.5703125" customWidth="1"/>
    <col min="23" max="23" width="9.42578125" customWidth="1"/>
    <col min="24" max="24" width="14.7109375" customWidth="1"/>
    <col min="25" max="25" width="13.5703125" customWidth="1"/>
    <col min="26" max="26" width="9.85546875" customWidth="1"/>
    <col min="27" max="27" width="10.140625" customWidth="1"/>
    <col min="28" max="28" width="9.42578125" customWidth="1"/>
    <col min="29" max="29" width="10.42578125" customWidth="1"/>
    <col min="30" max="30" width="13.5703125" customWidth="1"/>
    <col min="31" max="31" width="9.42578125" customWidth="1"/>
    <col min="32" max="32" width="11.5703125" customWidth="1"/>
    <col min="33" max="33" width="9.85546875" customWidth="1"/>
    <col min="34" max="34" width="10.42578125" customWidth="1"/>
    <col min="35" max="35" width="9.42578125" customWidth="1"/>
    <col min="36" max="36" width="10.42578125" customWidth="1"/>
    <col min="37" max="39" width="13.5703125" customWidth="1"/>
  </cols>
  <sheetData>
    <row r="2" spans="1:15" x14ac:dyDescent="0.25">
      <c r="A2" t="s">
        <v>48</v>
      </c>
      <c r="B2" t="s">
        <v>49</v>
      </c>
      <c r="C2" t="s">
        <v>50</v>
      </c>
      <c r="D2" t="s">
        <v>65</v>
      </c>
    </row>
    <row r="3" spans="1:15" x14ac:dyDescent="0.25">
      <c r="A3" s="6">
        <v>3588000</v>
      </c>
      <c r="B3" s="1">
        <v>40</v>
      </c>
      <c r="C3" s="1">
        <v>8</v>
      </c>
      <c r="D3" s="6">
        <v>179400</v>
      </c>
    </row>
    <row r="4" spans="1:15" x14ac:dyDescent="0.25">
      <c r="A4" s="6">
        <f>A3</f>
        <v>3588000</v>
      </c>
      <c r="B4" s="1">
        <f>B3</f>
        <v>40</v>
      </c>
      <c r="C4" s="1">
        <f>C3</f>
        <v>8</v>
      </c>
      <c r="D4" s="6">
        <f>D3</f>
        <v>179400</v>
      </c>
    </row>
    <row r="5" spans="1:15" x14ac:dyDescent="0.25">
      <c r="A5" s="6"/>
      <c r="B5" s="1"/>
      <c r="C5" s="1"/>
      <c r="D5" s="1"/>
    </row>
    <row r="7" spans="1:15" x14ac:dyDescent="0.25">
      <c r="A7" s="7" t="s">
        <v>52</v>
      </c>
      <c r="D7" s="7" t="s">
        <v>53</v>
      </c>
      <c r="G7" s="7" t="s">
        <v>56</v>
      </c>
      <c r="J7" s="7" t="s">
        <v>57</v>
      </c>
      <c r="N7" s="7" t="s">
        <v>77</v>
      </c>
    </row>
    <row r="8" spans="1:15" x14ac:dyDescent="0.25">
      <c r="A8" s="4" t="s">
        <v>41</v>
      </c>
      <c r="B8" t="s">
        <v>51</v>
      </c>
      <c r="D8" s="4" t="s">
        <v>43</v>
      </c>
      <c r="E8" t="s">
        <v>51</v>
      </c>
      <c r="G8" s="4" t="s">
        <v>39</v>
      </c>
      <c r="H8" t="s">
        <v>54</v>
      </c>
      <c r="J8" s="4" t="s">
        <v>42</v>
      </c>
      <c r="K8" t="s">
        <v>55</v>
      </c>
      <c r="N8" s="4" t="s">
        <v>43</v>
      </c>
      <c r="O8" t="s">
        <v>76</v>
      </c>
    </row>
    <row r="9" spans="1:15" x14ac:dyDescent="0.25">
      <c r="A9" t="s">
        <v>1</v>
      </c>
      <c r="B9" s="6">
        <v>1011000</v>
      </c>
      <c r="D9" t="s">
        <v>10</v>
      </c>
      <c r="E9" s="6">
        <v>225000</v>
      </c>
      <c r="G9" t="s">
        <v>0</v>
      </c>
      <c r="H9" s="1">
        <v>1</v>
      </c>
      <c r="J9" t="s">
        <v>2</v>
      </c>
      <c r="K9" s="1">
        <v>4</v>
      </c>
      <c r="N9" t="s">
        <v>10</v>
      </c>
      <c r="O9" s="1">
        <v>9</v>
      </c>
    </row>
    <row r="10" spans="1:15" x14ac:dyDescent="0.25">
      <c r="A10" t="s">
        <v>18</v>
      </c>
      <c r="B10" s="6">
        <v>1050000</v>
      </c>
      <c r="D10" t="s">
        <v>3</v>
      </c>
      <c r="E10" s="6">
        <v>1400000</v>
      </c>
      <c r="G10" t="s">
        <v>5</v>
      </c>
      <c r="H10" s="1">
        <v>2</v>
      </c>
      <c r="J10" t="s">
        <v>6</v>
      </c>
      <c r="K10" s="1">
        <v>4</v>
      </c>
      <c r="N10" t="s">
        <v>16</v>
      </c>
      <c r="O10" s="1">
        <v>5</v>
      </c>
    </row>
    <row r="11" spans="1:15" x14ac:dyDescent="0.25">
      <c r="A11" t="s">
        <v>27</v>
      </c>
      <c r="B11" s="6">
        <v>965000</v>
      </c>
      <c r="D11" t="s">
        <v>23</v>
      </c>
      <c r="E11" s="6">
        <v>360000</v>
      </c>
      <c r="G11" t="s">
        <v>8</v>
      </c>
      <c r="H11" s="1">
        <v>3</v>
      </c>
      <c r="J11" t="s">
        <v>9</v>
      </c>
      <c r="K11" s="1">
        <v>4</v>
      </c>
      <c r="N11" t="s">
        <v>3</v>
      </c>
      <c r="O11" s="1">
        <v>4</v>
      </c>
    </row>
    <row r="12" spans="1:15" x14ac:dyDescent="0.25">
      <c r="A12" t="s">
        <v>35</v>
      </c>
      <c r="B12" s="6">
        <v>562000</v>
      </c>
      <c r="D12" t="s">
        <v>12</v>
      </c>
      <c r="E12" s="6">
        <v>88000</v>
      </c>
      <c r="G12" t="s">
        <v>11</v>
      </c>
      <c r="H12" s="1">
        <v>2</v>
      </c>
      <c r="J12" t="s">
        <v>14</v>
      </c>
      <c r="K12" s="1">
        <v>2</v>
      </c>
      <c r="N12" t="s">
        <v>23</v>
      </c>
      <c r="O12" s="1">
        <v>3</v>
      </c>
    </row>
    <row r="13" spans="1:15" x14ac:dyDescent="0.25">
      <c r="D13" t="s">
        <v>7</v>
      </c>
      <c r="E13" s="6">
        <v>1440000</v>
      </c>
      <c r="G13" t="s">
        <v>13</v>
      </c>
      <c r="H13" s="1">
        <v>1</v>
      </c>
      <c r="J13" t="s">
        <v>19</v>
      </c>
      <c r="K13" s="1">
        <v>2</v>
      </c>
      <c r="N13" t="s">
        <v>12</v>
      </c>
      <c r="O13" s="1">
        <v>11</v>
      </c>
    </row>
    <row r="14" spans="1:15" x14ac:dyDescent="0.25">
      <c r="G14" t="s">
        <v>15</v>
      </c>
      <c r="H14" s="1">
        <v>2</v>
      </c>
      <c r="J14" t="s">
        <v>22</v>
      </c>
      <c r="K14" s="1">
        <v>2</v>
      </c>
      <c r="N14" t="s">
        <v>7</v>
      </c>
      <c r="O14" s="1">
        <v>8</v>
      </c>
    </row>
    <row r="15" spans="1:15" x14ac:dyDescent="0.25">
      <c r="G15" t="s">
        <v>17</v>
      </c>
      <c r="H15" s="1">
        <v>1</v>
      </c>
      <c r="J15" t="s">
        <v>28</v>
      </c>
      <c r="K15" s="1">
        <v>1</v>
      </c>
    </row>
    <row r="16" spans="1:15" x14ac:dyDescent="0.25">
      <c r="G16" t="s">
        <v>20</v>
      </c>
      <c r="H16" s="1">
        <v>1</v>
      </c>
      <c r="J16" t="s">
        <v>37</v>
      </c>
      <c r="K16" s="1">
        <v>1</v>
      </c>
    </row>
    <row r="17" spans="1:12" x14ac:dyDescent="0.25">
      <c r="G17" t="s">
        <v>21</v>
      </c>
      <c r="H17" s="1">
        <v>2</v>
      </c>
    </row>
    <row r="18" spans="1:12" x14ac:dyDescent="0.25">
      <c r="A18" s="7" t="s">
        <v>58</v>
      </c>
      <c r="G18" t="s">
        <v>24</v>
      </c>
      <c r="H18" s="1">
        <v>4</v>
      </c>
    </row>
    <row r="19" spans="1:12" x14ac:dyDescent="0.25">
      <c r="A19" s="4" t="s">
        <v>42</v>
      </c>
      <c r="B19" t="s">
        <v>51</v>
      </c>
      <c r="G19" t="s">
        <v>25</v>
      </c>
      <c r="H19" s="1">
        <v>1</v>
      </c>
    </row>
    <row r="20" spans="1:12" x14ac:dyDescent="0.25">
      <c r="A20" t="s">
        <v>37</v>
      </c>
      <c r="B20" s="6">
        <v>180000</v>
      </c>
      <c r="G20" t="s">
        <v>26</v>
      </c>
      <c r="H20" s="1">
        <v>5</v>
      </c>
    </row>
    <row r="21" spans="1:12" x14ac:dyDescent="0.25">
      <c r="A21" t="s">
        <v>28</v>
      </c>
      <c r="B21" s="6">
        <v>40000</v>
      </c>
      <c r="G21" t="s">
        <v>29</v>
      </c>
      <c r="H21" s="1">
        <v>1</v>
      </c>
      <c r="K21" s="5"/>
      <c r="L21" s="1"/>
    </row>
    <row r="22" spans="1:12" x14ac:dyDescent="0.25">
      <c r="A22" t="s">
        <v>22</v>
      </c>
      <c r="B22" s="6">
        <v>290000</v>
      </c>
      <c r="G22" t="s">
        <v>30</v>
      </c>
      <c r="H22" s="1">
        <v>1</v>
      </c>
      <c r="K22" s="5"/>
      <c r="L22" s="1"/>
    </row>
    <row r="23" spans="1:12" x14ac:dyDescent="0.25">
      <c r="A23" t="s">
        <v>19</v>
      </c>
      <c r="B23" s="6">
        <v>395000</v>
      </c>
      <c r="G23" t="s">
        <v>31</v>
      </c>
      <c r="H23" s="1">
        <v>2</v>
      </c>
      <c r="K23" s="5"/>
      <c r="L23" s="1"/>
    </row>
    <row r="24" spans="1:12" x14ac:dyDescent="0.25">
      <c r="A24" t="s">
        <v>14</v>
      </c>
      <c r="B24" s="6">
        <v>300000</v>
      </c>
      <c r="G24" t="s">
        <v>32</v>
      </c>
      <c r="H24" s="1">
        <v>3</v>
      </c>
      <c r="K24" s="5"/>
      <c r="L24" s="1"/>
    </row>
    <row r="25" spans="1:12" x14ac:dyDescent="0.25">
      <c r="A25" t="s">
        <v>9</v>
      </c>
      <c r="B25" s="6">
        <v>637000</v>
      </c>
      <c r="G25" t="s">
        <v>33</v>
      </c>
      <c r="H25" s="1">
        <v>2</v>
      </c>
      <c r="K25" s="5"/>
      <c r="L25" s="1"/>
    </row>
    <row r="26" spans="1:12" x14ac:dyDescent="0.25">
      <c r="A26" t="s">
        <v>6</v>
      </c>
      <c r="B26" s="6">
        <v>850000</v>
      </c>
      <c r="G26" t="s">
        <v>34</v>
      </c>
      <c r="H26" s="1">
        <v>1</v>
      </c>
      <c r="K26" s="5"/>
      <c r="L26" s="1"/>
    </row>
    <row r="27" spans="1:12" x14ac:dyDescent="0.25">
      <c r="A27" t="s">
        <v>2</v>
      </c>
      <c r="B27" s="6">
        <v>896000</v>
      </c>
      <c r="G27" t="s">
        <v>36</v>
      </c>
      <c r="H27" s="1">
        <v>1</v>
      </c>
      <c r="K27" s="5"/>
      <c r="L27" s="1"/>
    </row>
    <row r="28" spans="1:12" x14ac:dyDescent="0.25">
      <c r="G28" t="s">
        <v>38</v>
      </c>
      <c r="H28" s="1">
        <v>4</v>
      </c>
      <c r="K28" s="5"/>
      <c r="L28" s="1"/>
    </row>
    <row r="29" spans="1:12" x14ac:dyDescent="0.25">
      <c r="K29" s="5"/>
      <c r="L29" s="1"/>
    </row>
    <row r="30" spans="1:12" x14ac:dyDescent="0.25">
      <c r="K30" s="5"/>
      <c r="L30" s="1"/>
    </row>
    <row r="31" spans="1:12" x14ac:dyDescent="0.25">
      <c r="K31" s="5"/>
      <c r="L31" s="1"/>
    </row>
    <row r="32" spans="1:12" x14ac:dyDescent="0.25">
      <c r="A32" s="7" t="s">
        <v>73</v>
      </c>
      <c r="F32" s="7" t="s">
        <v>64</v>
      </c>
      <c r="K32" s="5"/>
      <c r="L32" s="1"/>
    </row>
    <row r="33" spans="1:12" x14ac:dyDescent="0.25">
      <c r="A33" s="4" t="s">
        <v>42</v>
      </c>
      <c r="B33" t="s">
        <v>55</v>
      </c>
      <c r="C33" t="s">
        <v>51</v>
      </c>
      <c r="F33" s="7" t="s">
        <v>42</v>
      </c>
      <c r="G33" s="7" t="s">
        <v>67</v>
      </c>
      <c r="H33" s="7" t="s">
        <v>46</v>
      </c>
      <c r="I33" s="7" t="s">
        <v>59</v>
      </c>
      <c r="J33" t="s">
        <v>60</v>
      </c>
      <c r="K33" t="s">
        <v>61</v>
      </c>
      <c r="L33" t="s">
        <v>63</v>
      </c>
    </row>
    <row r="34" spans="1:12" x14ac:dyDescent="0.25">
      <c r="A34" t="s">
        <v>2</v>
      </c>
      <c r="B34" s="1">
        <v>4</v>
      </c>
      <c r="C34" s="6">
        <v>896000</v>
      </c>
      <c r="F34" t="str">
        <f>$A$34:$A$41</f>
        <v>C001</v>
      </c>
      <c r="G34">
        <f>$B$34:$B$41</f>
        <v>4</v>
      </c>
      <c r="H34" s="6">
        <f>$C$34:$C$41</f>
        <v>896000</v>
      </c>
      <c r="I34" t="str">
        <f t="shared" ref="I34:I41" si="0">IF(B34&lt;=1, "Low", IF(B34&lt;=3, "Medium","High"))</f>
        <v>High</v>
      </c>
      <c r="J34" t="str">
        <f t="shared" ref="J34:J41" si="1">IF(C34&lt;100000, "Low", IF(C34&lt;=300000, "Medium", "High"))</f>
        <v>High</v>
      </c>
      <c r="K34" t="str">
        <f>I34 &amp; "-" &amp; J34</f>
        <v>High-High</v>
      </c>
      <c r="L34" t="str">
        <f>IF(AND(Table2[[#This Row],[Combo]] = "High-High"),"VIP",IF(AND(Table2[[#This Row],[Combo]] = "Medium-High"),"High Value",IF(AND(Table2[[#This Row],[Combo]] = "Medium-Medium"),"Regular",IF(AND(Table2[[#This Row],[Combo]] = "Low-Medium"),"At Risk", "Low Value"))))</f>
        <v>VIP</v>
      </c>
    </row>
    <row r="35" spans="1:12" x14ac:dyDescent="0.25">
      <c r="A35" t="s">
        <v>6</v>
      </c>
      <c r="B35" s="1">
        <v>4</v>
      </c>
      <c r="C35" s="6">
        <v>850000</v>
      </c>
      <c r="F35" t="str">
        <f t="shared" ref="F35:F41" si="2">$A$34:$A$41</f>
        <v>C002</v>
      </c>
      <c r="G35">
        <f t="shared" ref="G35:G41" si="3">$B$34:$B$41</f>
        <v>4</v>
      </c>
      <c r="H35" s="6">
        <f t="shared" ref="H35:H41" si="4">$C$34:$C$41</f>
        <v>850000</v>
      </c>
      <c r="I35" t="str">
        <f t="shared" si="0"/>
        <v>High</v>
      </c>
      <c r="J35" t="str">
        <f t="shared" si="1"/>
        <v>High</v>
      </c>
      <c r="K35" t="str">
        <f t="shared" ref="K35:K41" si="5">I35 &amp; "-" &amp; J35</f>
        <v>High-High</v>
      </c>
      <c r="L35" t="str">
        <f>IF(AND(Table2[[#This Row],[Combo]] = "High-High"),"VIP",IF(AND(Table2[[#This Row],[Combo]] = "Medium-High"),"High Value",IF(AND(Table2[[#This Row],[Combo]] = "Medium-Medium"),"Regular",IF(AND(Table2[[#This Row],[Combo]] = "Low-Medium"),"At Risk", "Low Value"))))</f>
        <v>VIP</v>
      </c>
    </row>
    <row r="36" spans="1:12" x14ac:dyDescent="0.25">
      <c r="A36" t="s">
        <v>9</v>
      </c>
      <c r="B36" s="1">
        <v>4</v>
      </c>
      <c r="C36" s="6">
        <v>637000</v>
      </c>
      <c r="F36" t="str">
        <f t="shared" si="2"/>
        <v>C003</v>
      </c>
      <c r="G36">
        <f t="shared" si="3"/>
        <v>4</v>
      </c>
      <c r="H36" s="6">
        <f t="shared" si="4"/>
        <v>637000</v>
      </c>
      <c r="I36" t="str">
        <f t="shared" si="0"/>
        <v>High</v>
      </c>
      <c r="J36" t="str">
        <f t="shared" si="1"/>
        <v>High</v>
      </c>
      <c r="K36" t="str">
        <f t="shared" si="5"/>
        <v>High-High</v>
      </c>
      <c r="L36" t="str">
        <f>IF(AND(Table2[[#This Row],[Combo]] = "High-High"),"VIP",IF(AND(Table2[[#This Row],[Combo]] = "Medium-High"),"High Value",IF(AND(Table2[[#This Row],[Combo]] = "Medium-Medium"),"Regular",IF(AND(Table2[[#This Row],[Combo]] = "Low-Medium"),"At Risk", "Low Value"))))</f>
        <v>VIP</v>
      </c>
    </row>
    <row r="37" spans="1:12" x14ac:dyDescent="0.25">
      <c r="A37" t="s">
        <v>14</v>
      </c>
      <c r="B37" s="1">
        <v>2</v>
      </c>
      <c r="C37" s="6">
        <v>300000</v>
      </c>
      <c r="F37" t="str">
        <f t="shared" si="2"/>
        <v>C004</v>
      </c>
      <c r="G37">
        <f t="shared" si="3"/>
        <v>2</v>
      </c>
      <c r="H37" s="6">
        <f t="shared" si="4"/>
        <v>300000</v>
      </c>
      <c r="I37" t="str">
        <f t="shared" si="0"/>
        <v>Medium</v>
      </c>
      <c r="J37" t="str">
        <f t="shared" si="1"/>
        <v>Medium</v>
      </c>
      <c r="K37" t="str">
        <f t="shared" si="5"/>
        <v>Medium-Medium</v>
      </c>
      <c r="L37" t="str">
        <f>IF(AND(Table2[[#This Row],[Combo]] = "High-High"),"VIP",IF(AND(Table2[[#This Row],[Combo]] = "Medium-High"),"High Value",IF(AND(Table2[[#This Row],[Combo]] = "Medium-Medium"),"Regular",IF(AND(Table2[[#This Row],[Combo]] = "Low-Medium"),"At Risk", "Low Value"))))</f>
        <v>Regular</v>
      </c>
    </row>
    <row r="38" spans="1:12" x14ac:dyDescent="0.25">
      <c r="A38" t="s">
        <v>19</v>
      </c>
      <c r="B38" s="1">
        <v>2</v>
      </c>
      <c r="C38" s="6">
        <v>395000</v>
      </c>
      <c r="F38" t="str">
        <f t="shared" si="2"/>
        <v>C005</v>
      </c>
      <c r="G38">
        <f t="shared" si="3"/>
        <v>2</v>
      </c>
      <c r="H38" s="6">
        <f t="shared" si="4"/>
        <v>395000</v>
      </c>
      <c r="I38" t="str">
        <f t="shared" si="0"/>
        <v>Medium</v>
      </c>
      <c r="J38" t="str">
        <f t="shared" si="1"/>
        <v>High</v>
      </c>
      <c r="K38" t="str">
        <f t="shared" si="5"/>
        <v>Medium-High</v>
      </c>
      <c r="L38" t="str">
        <f>IF(AND(Table2[[#This Row],[Combo]] = "High-High"),"VIP",IF(AND(Table2[[#This Row],[Combo]] = "Medium-High"),"High Value",IF(AND(Table2[[#This Row],[Combo]] = "Medium-Medium"),"Regular",IF(AND(Table2[[#This Row],[Combo]] = "Low-Medium"),"At Risk", "Low Value"))))</f>
        <v>High Value</v>
      </c>
    </row>
    <row r="39" spans="1:12" x14ac:dyDescent="0.25">
      <c r="A39" t="s">
        <v>22</v>
      </c>
      <c r="B39" s="1">
        <v>2</v>
      </c>
      <c r="C39" s="6">
        <v>290000</v>
      </c>
      <c r="F39" t="str">
        <f t="shared" si="2"/>
        <v>C006</v>
      </c>
      <c r="G39">
        <f t="shared" si="3"/>
        <v>2</v>
      </c>
      <c r="H39" s="6">
        <f t="shared" si="4"/>
        <v>290000</v>
      </c>
      <c r="I39" t="str">
        <f t="shared" si="0"/>
        <v>Medium</v>
      </c>
      <c r="J39" t="str">
        <f t="shared" si="1"/>
        <v>Medium</v>
      </c>
      <c r="K39" t="str">
        <f t="shared" si="5"/>
        <v>Medium-Medium</v>
      </c>
      <c r="L39" t="str">
        <f>IF(AND(Table2[[#This Row],[Combo]] = "High-High"),"VIP",IF(AND(Table2[[#This Row],[Combo]] = "Medium-High"),"High Value",IF(AND(Table2[[#This Row],[Combo]] = "Medium-Medium"),"Regular",IF(AND(Table2[[#This Row],[Combo]] = "Low-Medium"),"At Risk", "Low Value"))))</f>
        <v>Regular</v>
      </c>
    </row>
    <row r="40" spans="1:12" x14ac:dyDescent="0.25">
      <c r="A40" t="s">
        <v>28</v>
      </c>
      <c r="B40" s="1">
        <v>1</v>
      </c>
      <c r="C40" s="6">
        <v>40000</v>
      </c>
      <c r="F40" t="str">
        <f t="shared" si="2"/>
        <v>C007</v>
      </c>
      <c r="G40">
        <f t="shared" si="3"/>
        <v>1</v>
      </c>
      <c r="H40" s="6">
        <f t="shared" si="4"/>
        <v>40000</v>
      </c>
      <c r="I40" t="str">
        <f t="shared" si="0"/>
        <v>Low</v>
      </c>
      <c r="J40" t="str">
        <f t="shared" si="1"/>
        <v>Low</v>
      </c>
      <c r="K40" t="str">
        <f t="shared" si="5"/>
        <v>Low-Low</v>
      </c>
      <c r="L40" t="str">
        <f>IF(AND(Table2[[#This Row],[Combo]] = "High-High"),"VIP",IF(AND(Table2[[#This Row],[Combo]] = "Medium-High"),"High Value",IF(AND(Table2[[#This Row],[Combo]] = "Medium-Medium"),"Regular",IF(AND(Table2[[#This Row],[Combo]] = "Low-Medium"),"At Risk", "Low Value"))))</f>
        <v>Low Value</v>
      </c>
    </row>
    <row r="41" spans="1:12" x14ac:dyDescent="0.25">
      <c r="A41" t="s">
        <v>37</v>
      </c>
      <c r="B41" s="1">
        <v>1</v>
      </c>
      <c r="C41" s="6">
        <v>180000</v>
      </c>
      <c r="F41" t="str">
        <f t="shared" si="2"/>
        <v>C008</v>
      </c>
      <c r="G41">
        <f t="shared" si="3"/>
        <v>1</v>
      </c>
      <c r="H41" s="6">
        <f t="shared" si="4"/>
        <v>180000</v>
      </c>
      <c r="I41" t="str">
        <f t="shared" si="0"/>
        <v>Low</v>
      </c>
      <c r="J41" t="str">
        <f t="shared" si="1"/>
        <v>Medium</v>
      </c>
      <c r="K41" t="str">
        <f t="shared" si="5"/>
        <v>Low-Medium</v>
      </c>
      <c r="L41" t="str">
        <f>IF(AND(Table2[[#This Row],[Combo]] = "High-High"),"VIP",IF(AND(Table2[[#This Row],[Combo]] = "Medium-High"),"High Value",IF(AND(Table2[[#This Row],[Combo]] = "Medium-Medium"),"Regular",IF(AND(Table2[[#This Row],[Combo]] = "Low-Medium"),"At Risk", "Low Value"))))</f>
        <v>At Risk</v>
      </c>
    </row>
    <row r="44" spans="1:12" x14ac:dyDescent="0.25">
      <c r="F44" s="7" t="s">
        <v>74</v>
      </c>
      <c r="I44" s="7" t="s">
        <v>75</v>
      </c>
    </row>
    <row r="45" spans="1:12" x14ac:dyDescent="0.25">
      <c r="F45" s="4" t="s">
        <v>63</v>
      </c>
      <c r="G45" t="s">
        <v>72</v>
      </c>
      <c r="I45" s="4" t="s">
        <v>63</v>
      </c>
      <c r="J45" t="s">
        <v>51</v>
      </c>
    </row>
    <row r="46" spans="1:12" x14ac:dyDescent="0.25">
      <c r="F46" t="s">
        <v>68</v>
      </c>
      <c r="G46" s="1">
        <v>3</v>
      </c>
      <c r="I46" t="s">
        <v>68</v>
      </c>
      <c r="J46" s="6">
        <v>2383000</v>
      </c>
    </row>
    <row r="47" spans="1:12" x14ac:dyDescent="0.25">
      <c r="F47" t="s">
        <v>69</v>
      </c>
      <c r="G47" s="1">
        <v>2</v>
      </c>
      <c r="I47" t="s">
        <v>69</v>
      </c>
      <c r="J47" s="6">
        <v>590000</v>
      </c>
    </row>
    <row r="48" spans="1:12" x14ac:dyDescent="0.25">
      <c r="F48" t="s">
        <v>62</v>
      </c>
      <c r="G48" s="1">
        <v>1</v>
      </c>
      <c r="I48" t="s">
        <v>62</v>
      </c>
      <c r="J48" s="6">
        <v>40000</v>
      </c>
    </row>
    <row r="49" spans="6:10" x14ac:dyDescent="0.25">
      <c r="F49" t="s">
        <v>71</v>
      </c>
      <c r="G49" s="1">
        <v>1</v>
      </c>
      <c r="I49" t="s">
        <v>71</v>
      </c>
      <c r="J49" s="6">
        <v>395000</v>
      </c>
    </row>
    <row r="50" spans="6:10" x14ac:dyDescent="0.25">
      <c r="F50" t="s">
        <v>70</v>
      </c>
      <c r="G50" s="1">
        <v>1</v>
      </c>
      <c r="I50" t="s">
        <v>70</v>
      </c>
      <c r="J50" s="6">
        <v>180000</v>
      </c>
    </row>
    <row r="56" spans="6:10" x14ac:dyDescent="0.25">
      <c r="H56" s="1"/>
    </row>
    <row r="57" spans="6:10" x14ac:dyDescent="0.25">
      <c r="H57" s="1"/>
    </row>
    <row r="58" spans="6:10" x14ac:dyDescent="0.25">
      <c r="H58" s="1"/>
    </row>
    <row r="59" spans="6:10" x14ac:dyDescent="0.25">
      <c r="H59" s="1"/>
    </row>
    <row r="60" spans="6:10" x14ac:dyDescent="0.25">
      <c r="H60" s="1"/>
    </row>
  </sheetData>
  <pageMargins left="0.7" right="0.7" top="0.75" bottom="0.75" header="0.3" footer="0.3"/>
  <pageSetup orientation="portrait" r:id="rId11"/>
  <tableParts count="2">
    <tablePart r:id="rId12"/>
    <tablePart r:id="rId1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F3:AD5"/>
  <sheetViews>
    <sheetView showGridLines="0" tabSelected="1" topLeftCell="A4" zoomScale="65" zoomScaleNormal="65" workbookViewId="0"/>
  </sheetViews>
  <sheetFormatPr defaultRowHeight="15" x14ac:dyDescent="0.25"/>
  <sheetData>
    <row r="3" spans="6:30" x14ac:dyDescent="0.25">
      <c r="AD3" s="11"/>
    </row>
    <row r="5" spans="6:30" x14ac:dyDescent="0.25">
      <c r="F5" t="s">
        <v>66</v>
      </c>
    </row>
  </sheetData>
  <pageMargins left="0.25" right="0.25" top="0.75" bottom="0.75" header="0.3" footer="0.3"/>
  <pageSetup paperSize="9" scale="42" fitToHeight="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7AA7823-89C2-40AF-9617-FE83928C763D}">
  <ds:schemaRefs/>
</ds:datastoreItem>
</file>

<file path=customXml/itemProps2.xml><?xml version="1.0" encoding="utf-8"?>
<ds:datastoreItem xmlns:ds="http://schemas.openxmlformats.org/officeDocument/2006/customXml" ds:itemID="{76428B87-79E0-4C62-9974-B647478F636C}">
  <ds:schemaRefs/>
</ds:datastoreItem>
</file>

<file path=customXml/itemProps3.xml><?xml version="1.0" encoding="utf-8"?>
<ds:datastoreItem xmlns:ds="http://schemas.openxmlformats.org/officeDocument/2006/customXml" ds:itemID="{ED5205D6-AF02-4C8E-8A59-FE0F90EE5881}">
  <ds:schemaRefs/>
</ds:datastoreItem>
</file>

<file path=customXml/itemProps4.xml><?xml version="1.0" encoding="utf-8"?>
<ds:datastoreItem xmlns:ds="http://schemas.openxmlformats.org/officeDocument/2006/customXml" ds:itemID="{92B7043E-E640-4693-BDB5-F318DB1C02CE}">
  <ds:schemaRefs>
    <ds:schemaRef ds:uri="http://schemas.microsoft.com/DataMashup"/>
  </ds:schemaRefs>
</ds:datastoreItem>
</file>

<file path=customXml/itemProps5.xml><?xml version="1.0" encoding="utf-8"?>
<ds:datastoreItem xmlns:ds="http://schemas.openxmlformats.org/officeDocument/2006/customXml" ds:itemID="{DBC8BC3B-40F2-462E-B587-BF2CDA07B46C}">
  <ds:schemaRefs/>
</ds:datastoreItem>
</file>

<file path=customXml/itemProps6.xml><?xml version="1.0" encoding="utf-8"?>
<ds:datastoreItem xmlns:ds="http://schemas.openxmlformats.org/officeDocument/2006/customXml" ds:itemID="{5C8C9F3E-9883-414B-AFA1-6922A6BA7200}">
  <ds:schemaRefs/>
</ds:datastoreItem>
</file>

<file path=customXml/itemProps7.xml><?xml version="1.0" encoding="utf-8"?>
<ds:datastoreItem xmlns:ds="http://schemas.openxmlformats.org/officeDocument/2006/customXml" ds:itemID="{38AE8A28-F09A-4529-BC42-ABFA2CC561F4}">
  <ds:schemaRefs/>
</ds:datastoreItem>
</file>

<file path=customXml/itemProps8.xml><?xml version="1.0" encoding="utf-8"?>
<ds:datastoreItem xmlns:ds="http://schemas.openxmlformats.org/officeDocument/2006/customXml" ds:itemID="{F103A732-DCBC-469F-BD92-8366622F17C1}">
  <ds:schemaRefs/>
</ds:datastoreItem>
</file>

<file path=customXml/itemProps9.xml><?xml version="1.0" encoding="utf-8"?>
<ds:datastoreItem xmlns:ds="http://schemas.openxmlformats.org/officeDocument/2006/customXml" ds:itemID="{836577AC-886B-4474-8227-8D21D710CFC2}">
  <ds:schemaRefs/>
</ds:datastoreItem>
</file>

<file path=customXml/itemProps10.xml><?xml version="1.0" encoding="utf-8"?>
<ds:datastoreItem xmlns:ds="http://schemas.openxmlformats.org/officeDocument/2006/customXml" ds:itemID="{0974A850-25C3-4185-98E5-D28D3658607C}">
  <ds:schemaRefs/>
</ds:datastoreItem>
</file>

<file path=customXml/itemProps11.xml><?xml version="1.0" encoding="utf-8"?>
<ds:datastoreItem xmlns:ds="http://schemas.openxmlformats.org/officeDocument/2006/customXml" ds:itemID="{D9CC80D4-751C-45E8-8B5F-B68683F7FF12}">
  <ds:schemaRefs/>
</ds:datastoreItem>
</file>

<file path=customXml/itemProps12.xml><?xml version="1.0" encoding="utf-8"?>
<ds:datastoreItem xmlns:ds="http://schemas.openxmlformats.org/officeDocument/2006/customXml" ds:itemID="{D2AEEE89-0D1D-46D6-9D8A-DCBBE6F305AC}">
  <ds:schemaRefs/>
</ds:datastoreItem>
</file>

<file path=customXml/itemProps13.xml><?xml version="1.0" encoding="utf-8"?>
<ds:datastoreItem xmlns:ds="http://schemas.openxmlformats.org/officeDocument/2006/customXml" ds:itemID="{1FDBEC9A-DD00-4F14-93A3-2D2EBCE3AE27}">
  <ds:schemaRefs/>
</ds:datastoreItem>
</file>

<file path=customXml/itemProps14.xml><?xml version="1.0" encoding="utf-8"?>
<ds:datastoreItem xmlns:ds="http://schemas.openxmlformats.org/officeDocument/2006/customXml" ds:itemID="{053236C2-D247-4CFE-B474-D3979711513B}">
  <ds:schemaRefs/>
</ds:datastoreItem>
</file>

<file path=customXml/itemProps15.xml><?xml version="1.0" encoding="utf-8"?>
<ds:datastoreItem xmlns:ds="http://schemas.openxmlformats.org/officeDocument/2006/customXml" ds:itemID="{816D468B-31A9-4656-8135-C428F9AA4AC4}">
  <ds:schemaRefs/>
</ds:datastoreItem>
</file>

<file path=customXml/itemProps16.xml><?xml version="1.0" encoding="utf-8"?>
<ds:datastoreItem xmlns:ds="http://schemas.openxmlformats.org/officeDocument/2006/customXml" ds:itemID="{4C9ED20A-4DE3-4948-A46A-D3A93E52E10B}">
  <ds:schemaRefs/>
</ds:datastoreItem>
</file>

<file path=customXml/itemProps17.xml><?xml version="1.0" encoding="utf-8"?>
<ds:datastoreItem xmlns:ds="http://schemas.openxmlformats.org/officeDocument/2006/customXml" ds:itemID="{E7BB746F-19E2-426C-9F99-F8C60DE1016D}">
  <ds:schemaRefs/>
</ds:datastoreItem>
</file>

<file path=customXml/itemProps18.xml><?xml version="1.0" encoding="utf-8"?>
<ds:datastoreItem xmlns:ds="http://schemas.openxmlformats.org/officeDocument/2006/customXml" ds:itemID="{E262B1C7-8DFC-4A32-8566-8CD166663E6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Worksheet</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Pc</dc:creator>
  <cp:lastModifiedBy>Hp Pc</cp:lastModifiedBy>
  <cp:lastPrinted>2026-05-02T12:13:12Z</cp:lastPrinted>
  <dcterms:created xsi:type="dcterms:W3CDTF">2026-04-20T13:35:19Z</dcterms:created>
  <dcterms:modified xsi:type="dcterms:W3CDTF">2026-05-02T12:23:21Z</dcterms:modified>
</cp:coreProperties>
</file>